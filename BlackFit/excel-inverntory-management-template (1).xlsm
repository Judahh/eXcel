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Puneet Gogia\Desktop\"/>
    </mc:Choice>
  </mc:AlternateContent>
  <bookViews>
    <workbookView xWindow="0" yWindow="0" windowWidth="20490" windowHeight="7755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 concurrentCalc="0"/>
  <pivotCaches>
    <pivotCache cacheId="19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7" l="1"/>
  <c r="H11" i="4"/>
  <c r="I11" i="4"/>
  <c r="H3" i="4"/>
  <c r="H4" i="4"/>
  <c r="H5" i="4"/>
  <c r="H6" i="4"/>
  <c r="H7" i="4"/>
  <c r="H8" i="4"/>
  <c r="H9" i="4"/>
  <c r="H10" i="4"/>
  <c r="H2" i="4"/>
  <c r="B10" i="7"/>
  <c r="B11" i="7"/>
  <c r="B12" i="7"/>
  <c r="B9" i="7"/>
  <c r="A15" i="7"/>
  <c r="A17" i="7"/>
  <c r="A16" i="7"/>
  <c r="B8" i="7"/>
  <c r="B13" i="7"/>
  <c r="B3" i="7"/>
  <c r="B4" i="7"/>
  <c r="B6" i="7"/>
  <c r="B5" i="7"/>
  <c r="B5" i="10"/>
  <c r="I2" i="4"/>
  <c r="I3" i="4"/>
  <c r="I4" i="4"/>
  <c r="I5" i="4"/>
  <c r="I6" i="4"/>
  <c r="I7" i="4"/>
  <c r="I8" i="4"/>
  <c r="I9" i="4"/>
  <c r="I10" i="4"/>
  <c r="B2" i="7"/>
  <c r="B1" i="7"/>
  <c r="B12" i="5"/>
  <c r="B10" i="5"/>
  <c r="B9" i="5"/>
  <c r="B7" i="5"/>
  <c r="B6" i="5"/>
  <c r="B5" i="5"/>
  <c r="B5" i="2"/>
  <c r="B6" i="2"/>
  <c r="B12" i="2"/>
  <c r="B10" i="2"/>
  <c r="B9" i="2"/>
  <c r="B7" i="2"/>
</calcChain>
</file>

<file path=xl/sharedStrings.xml><?xml version="1.0" encoding="utf-8"?>
<sst xmlns="http://schemas.openxmlformats.org/spreadsheetml/2006/main" count="205" uniqueCount="55">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</sst>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20"/>
      <color theme="1"/>
      <name val="Calibr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20"/>
      <name val="Calibri Light"/>
      <family val="2"/>
    </font>
    <font>
      <sz val="11"/>
      <color theme="7" tint="0.39997558519241921"/>
      <name val="Calibri Light"/>
      <family val="2"/>
    </font>
    <font>
      <sz val="11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3" borderId="0" xfId="0" applyFill="1"/>
    <xf numFmtId="15" fontId="1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/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4" fillId="4" borderId="3" xfId="0" applyNumberFormat="1" applyFont="1" applyFill="1" applyBorder="1" applyAlignment="1" applyProtection="1">
      <alignment horizontal="right" vertical="center"/>
      <protection locked="0"/>
    </xf>
    <xf numFmtId="0" fontId="4" fillId="4" borderId="3" xfId="0" applyFont="1" applyFill="1" applyBorder="1" applyAlignment="1" applyProtection="1">
      <alignment horizontal="right"/>
      <protection locked="0"/>
    </xf>
    <xf numFmtId="0" fontId="4" fillId="4" borderId="1" xfId="0" applyFont="1" applyFill="1" applyBorder="1" applyAlignment="1" applyProtection="1">
      <alignment horizontal="right"/>
      <protection locked="0"/>
    </xf>
    <xf numFmtId="0" fontId="6" fillId="0" borderId="0" xfId="0" applyFont="1" applyAlignment="1">
      <alignment horizontal="center"/>
    </xf>
    <xf numFmtId="15" fontId="6" fillId="0" borderId="0" xfId="0" applyNumberFormat="1" applyFont="1" applyAlignment="1">
      <alignment horizontal="center"/>
    </xf>
    <xf numFmtId="42" fontId="6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0" fontId="7" fillId="2" borderId="2" xfId="0" applyFont="1" applyFill="1" applyBorder="1"/>
    <xf numFmtId="0" fontId="7" fillId="2" borderId="4" xfId="0" applyFont="1" applyFill="1" applyBorder="1"/>
    <xf numFmtId="0" fontId="7" fillId="2" borderId="3" xfId="0" applyFont="1" applyFill="1" applyBorder="1" applyAlignment="1">
      <alignment horizontal="right" vertical="center"/>
    </xf>
    <xf numFmtId="42" fontId="4" fillId="4" borderId="3" xfId="0" applyNumberFormat="1" applyFont="1" applyFill="1" applyBorder="1" applyAlignment="1" applyProtection="1">
      <alignment horizontal="right" indent="3"/>
      <protection locked="0"/>
    </xf>
    <xf numFmtId="42" fontId="3" fillId="0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0" fontId="4" fillId="2" borderId="2" xfId="0" applyFont="1" applyFill="1" applyBorder="1"/>
    <xf numFmtId="0" fontId="4" fillId="2" borderId="3" xfId="0" applyFont="1" applyFill="1" applyBorder="1" applyAlignment="1">
      <alignment horizontal="right" vertical="center"/>
    </xf>
    <xf numFmtId="15" fontId="4" fillId="2" borderId="3" xfId="0" applyNumberFormat="1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right"/>
    </xf>
    <xf numFmtId="0" fontId="4" fillId="2" borderId="4" xfId="0" applyFont="1" applyFill="1" applyBorder="1"/>
    <xf numFmtId="42" fontId="4" fillId="2" borderId="1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4" fillId="5" borderId="3" xfId="0" applyFont="1" applyFill="1" applyBorder="1" applyAlignment="1" applyProtection="1">
      <alignment horizontal="right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Stock Value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230093184"/>
        <c:axId val="230094720"/>
      </c:barChart>
      <c:catAx>
        <c:axId val="230093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230094720"/>
        <c:crosses val="autoZero"/>
        <c:auto val="1"/>
        <c:lblAlgn val="ctr"/>
        <c:lblOffset val="100"/>
        <c:noMultiLvlLbl val="0"/>
      </c:catAx>
      <c:valAx>
        <c:axId val="2300947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30093184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[excel-inverntory-management-template.xlsm]Help!PivotTable1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u="sng">
                <a:solidFill>
                  <a:schemeClr val="accent5">
                    <a:lumMod val="50000"/>
                  </a:schemeClr>
                </a:solidFill>
                <a:latin typeface="Georgia" panose="02040502050405020303" pitchFamily="18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55484031529025912"/>
          <c:y val="1.6597510373443983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 w="9525">
            <a:solidFill>
              <a:schemeClr val="accent5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175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134144"/>
        <c:axId val="230135680"/>
      </c:barChart>
      <c:catAx>
        <c:axId val="23013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chemeClr val="accent5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135680"/>
        <c:crosses val="autoZero"/>
        <c:auto val="1"/>
        <c:lblAlgn val="ctr"/>
        <c:lblOffset val="100"/>
        <c:noMultiLvlLbl val="0"/>
      </c:catAx>
      <c:valAx>
        <c:axId val="230135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23013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60000"/>
        <a:lumOff val="4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" Type="http://schemas.openxmlformats.org/officeDocument/2006/relationships/image" Target="../media/image1.png"/><Relationship Id="rId21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7" Type="http://schemas.openxmlformats.org/officeDocument/2006/relationships/hyperlink" Target="https://www.facebook.com/ExcelChamps" TargetMode="External"/><Relationship Id="rId12" Type="http://schemas.openxmlformats.org/officeDocument/2006/relationships/hyperlink" Target="https://www.youtube.com/c/Excelchamps" TargetMode="External"/><Relationship Id="rId17" Type="http://schemas.openxmlformats.org/officeDocument/2006/relationships/hyperlink" Target="https://twitter.com/home?status=http://excelchamps.com/blog/2016/08/excel-inventory-management-template-with-user-forms-vba" TargetMode="External"/><Relationship Id="rId25" Type="http://schemas.openxmlformats.org/officeDocument/2006/relationships/hyperlink" Target="https://plus.google.com/share?url=http://excelchamps.com/blog/2016/08/excel-inventory-management-template-with-user-forms-vba" TargetMode="External"/><Relationship Id="rId2" Type="http://schemas.openxmlformats.org/officeDocument/2006/relationships/chart" Target="../charts/chart2.xml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7.png"/><Relationship Id="rId24" Type="http://schemas.openxmlformats.org/officeDocument/2006/relationships/image" Target="../media/image14.png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23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8" Type="http://schemas.openxmlformats.org/officeDocument/2006/relationships/image" Target="../media/image16.png"/><Relationship Id="rId10" Type="http://schemas.openxmlformats.org/officeDocument/2006/relationships/image" Target="../media/image6.png"/><Relationship Id="rId19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twitter.com/ExcelChamps" TargetMode="External"/><Relationship Id="rId14" Type="http://schemas.openxmlformats.org/officeDocument/2006/relationships/hyperlink" Target="http://excelchamps.com/" TargetMode="External"/><Relationship Id="rId22" Type="http://schemas.openxmlformats.org/officeDocument/2006/relationships/image" Target="../media/image13.png"/><Relationship Id="rId27" Type="http://schemas.openxmlformats.org/officeDocument/2006/relationships/hyperlink" Target="https://www.facebook.com/sharer/sharer.php?u=http://excelchamps.com/blog/2016/08/excel-inventory-management-template-with-user-forms-vba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54584"/>
    <xdr:sp macro="" textlink="Help!A17">
      <xdr:nvSpPr>
        <xdr:cNvPr id="52" name="ReorderLevelMessage1"/>
        <xdr:cNvSpPr/>
      </xdr:nvSpPr>
      <xdr:spPr>
        <a:xfrm>
          <a:off x="6315075" y="3905250"/>
          <a:ext cx="6081056" cy="35458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 </a:t>
          </a:fld>
          <a:endParaRPr lang="en-US" sz="32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39188</xdr:rowOff>
    </xdr:to>
    <xdr:sp macro="" textlink="">
      <xdr:nvSpPr>
        <xdr:cNvPr id="53" name="CurrentStockVsReOrderLevel"/>
        <xdr:cNvSpPr/>
      </xdr:nvSpPr>
      <xdr:spPr>
        <a:xfrm>
          <a:off x="8458199" y="2028825"/>
          <a:ext cx="4029075" cy="29636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 u="sng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167344</xdr:colOff>
      <xdr:row>20</xdr:row>
      <xdr:rowOff>121735</xdr:rowOff>
    </xdr:from>
    <xdr:ext cx="6081056" cy="354584"/>
    <xdr:sp macro="" textlink="Help!A15">
      <xdr:nvSpPr>
        <xdr:cNvPr id="37" name="ReorderLevelMessage2"/>
        <xdr:cNvSpPr/>
      </xdr:nvSpPr>
      <xdr:spPr>
        <a:xfrm>
          <a:off x="6339544" y="3931735"/>
          <a:ext cx="6081056" cy="35458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Relax! Stock Is Above Re-Order Level.</a:t>
          </a:fld>
          <a:endParaRPr lang="en-US" sz="1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54584"/>
    <xdr:sp macro="" textlink="Help!A16">
      <xdr:nvSpPr>
        <xdr:cNvPr id="51" name="ReorderLevelMessage3"/>
        <xdr:cNvSpPr/>
      </xdr:nvSpPr>
      <xdr:spPr>
        <a:xfrm>
          <a:off x="6368119" y="3931735"/>
          <a:ext cx="6081056" cy="35458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 </a:t>
          </a:fld>
          <a:endParaRPr lang="en-US" sz="32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354584"/>
    <xdr:sp macro="" textlink="Help!B12">
      <xdr:nvSpPr>
        <xdr:cNvPr id="49" name="ProductCurrentStock"/>
        <xdr:cNvSpPr/>
      </xdr:nvSpPr>
      <xdr:spPr>
        <a:xfrm>
          <a:off x="6324600" y="2905125"/>
          <a:ext cx="6115049" cy="35458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pPr algn="l"/>
            <a:t>Current Stock is 70 Unit(s). And, Stock Value is $280</a:t>
          </a:fld>
          <a:endParaRPr lang="en-US" sz="239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558614"/>
    <xdr:sp macro="" textlink="Help!B13">
      <xdr:nvSpPr>
        <xdr:cNvPr id="50" name="ProductName"/>
        <xdr:cNvSpPr/>
      </xdr:nvSpPr>
      <xdr:spPr>
        <a:xfrm>
          <a:off x="6284448" y="2428875"/>
          <a:ext cx="6107577" cy="55861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  <a:ea typeface="+mn-ea"/>
              <a:cs typeface="+mn-cs"/>
            </a:rPr>
            <a:pPr marL="0" indent="0" algn="l"/>
            <a:t>Galaxy Tab A's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oneCellAnchor>
  <xdr:twoCellAnchor>
    <xdr:from>
      <xdr:col>9</xdr:col>
      <xdr:colOff>57150</xdr:colOff>
      <xdr:row>13</xdr:row>
      <xdr:rowOff>147637</xdr:rowOff>
    </xdr:from>
    <xdr:to>
      <xdr:col>18</xdr:col>
      <xdr:colOff>19050</xdr:colOff>
      <xdr:row>23</xdr:row>
      <xdr:rowOff>171450</xdr:rowOff>
    </xdr:to>
    <xdr:graphicFrame macro="">
      <xdr:nvGraphicFramePr>
        <xdr:cNvPr id="48" name="Produc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515206"/>
    <xdr:sp macro="" textlink="">
      <xdr:nvSpPr>
        <xdr:cNvPr id="35" name="StockValueLabel"/>
        <xdr:cNvSpPr/>
      </xdr:nvSpPr>
      <xdr:spPr>
        <a:xfrm>
          <a:off x="9413050" y="628650"/>
          <a:ext cx="2988500" cy="51520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515206"/>
    <xdr:sp macro="" textlink="">
      <xdr:nvSpPr>
        <xdr:cNvPr id="32" name="StockValueLabel"/>
        <xdr:cNvSpPr/>
      </xdr:nvSpPr>
      <xdr:spPr>
        <a:xfrm>
          <a:off x="3190875" y="657225"/>
          <a:ext cx="2988500" cy="51520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/>
        <xdr:cNvSpPr/>
      </xdr:nvSpPr>
      <xdr:spPr>
        <a:xfrm>
          <a:off x="6276975" y="1971675"/>
          <a:ext cx="6124575" cy="2362200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75670"/>
    <xdr:sp macro="" textlink="Help!B2">
      <xdr:nvSpPr>
        <xdr:cNvPr id="33" name="CurrentStock"/>
        <xdr:cNvSpPr/>
      </xdr:nvSpPr>
      <xdr:spPr>
        <a:xfrm>
          <a:off x="3181351" y="1143000"/>
          <a:ext cx="2990850" cy="5756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  <a:ea typeface="+mn-ea"/>
              <a:cs typeface="+mn-cs"/>
            </a:rPr>
            <a:pPr marL="0" indent="0" algn="ctr"/>
            <a:t> $634,784 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/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515206"/>
    <xdr:sp macro="" textlink="">
      <xdr:nvSpPr>
        <xdr:cNvPr id="20" name="CurrentStockLabel"/>
        <xdr:cNvSpPr/>
      </xdr:nvSpPr>
      <xdr:spPr>
        <a:xfrm>
          <a:off x="59501" y="636085"/>
          <a:ext cx="2988500" cy="51520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75670"/>
    <xdr:sp macro="" textlink="Help!B5">
      <xdr:nvSpPr>
        <xdr:cNvPr id="38" name="CurrentStock"/>
        <xdr:cNvSpPr/>
      </xdr:nvSpPr>
      <xdr:spPr>
        <a:xfrm>
          <a:off x="6286500" y="1152525"/>
          <a:ext cx="2990850" cy="5756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  <a:ea typeface="+mn-ea"/>
              <a:cs typeface="+mn-cs"/>
            </a:rPr>
            <a:pPr marL="0" indent="0" algn="ctr"/>
            <a:t>0 Unit(s)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75670"/>
    <xdr:sp macro="" textlink="Help!B6">
      <xdr:nvSpPr>
        <xdr:cNvPr id="39" name="CurrentStock"/>
        <xdr:cNvSpPr/>
      </xdr:nvSpPr>
      <xdr:spPr>
        <a:xfrm>
          <a:off x="9429750" y="1143000"/>
          <a:ext cx="2990850" cy="5756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  <a:ea typeface="+mn-ea"/>
              <a:cs typeface="+mn-cs"/>
            </a:rPr>
            <a:pPr marL="0" indent="0" algn="ctr"/>
            <a:t>0 Unit(s)</a:t>
          </a:fld>
          <a:endParaRPr lang="en-US" sz="32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62567</xdr:colOff>
      <xdr:row>8</xdr:row>
      <xdr:rowOff>150310</xdr:rowOff>
    </xdr:from>
    <xdr:ext cx="1046440" cy="208519"/>
    <xdr:sp macro="" textlink="">
      <xdr:nvSpPr>
        <xdr:cNvPr id="40" name="CurrentMonthTag"/>
        <xdr:cNvSpPr/>
      </xdr:nvSpPr>
      <xdr:spPr>
        <a:xfrm>
          <a:off x="8292167" y="1674310"/>
          <a:ext cx="1046440" cy="20851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urier New" panose="02070309020205020404" pitchFamily="49" charset="0"/>
              <a:cs typeface="Courier New" panose="02070309020205020404" pitchFamily="49" charset="0"/>
            </a:rPr>
            <a:t>*Current Month</a:t>
          </a:r>
        </a:p>
      </xdr:txBody>
    </xdr:sp>
    <xdr:clientData/>
  </xdr:oneCellAnchor>
  <xdr:oneCellAnchor>
    <xdr:from>
      <xdr:col>16</xdr:col>
      <xdr:colOff>447675</xdr:colOff>
      <xdr:row>8</xdr:row>
      <xdr:rowOff>161925</xdr:rowOff>
    </xdr:from>
    <xdr:ext cx="1046440" cy="208519"/>
    <xdr:sp macro="" textlink="">
      <xdr:nvSpPr>
        <xdr:cNvPr id="41" name="CurrentMonthTag"/>
        <xdr:cNvSpPr/>
      </xdr:nvSpPr>
      <xdr:spPr>
        <a:xfrm>
          <a:off x="11420475" y="1685925"/>
          <a:ext cx="1046440" cy="20851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urier New" panose="02070309020205020404" pitchFamily="49" charset="0"/>
              <a:cs typeface="Courier New" panose="02070309020205020404" pitchFamily="49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75670"/>
    <xdr:sp macro="" textlink="Help!B1">
      <xdr:nvSpPr>
        <xdr:cNvPr id="31" name="CurrentStock"/>
        <xdr:cNvSpPr/>
      </xdr:nvSpPr>
      <xdr:spPr>
        <a:xfrm>
          <a:off x="57150" y="1123950"/>
          <a:ext cx="3000375" cy="57567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32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pPr algn="ctr"/>
            <a:t>635 Unit(s)</a:t>
          </a:fld>
          <a:endParaRPr lang="en-US" sz="32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Lucida Fax" panose="02060602050505020204" pitchFamily="18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515206"/>
    <xdr:sp macro="" textlink="">
      <xdr:nvSpPr>
        <xdr:cNvPr id="34" name="StockValueLabel"/>
        <xdr:cNvSpPr/>
      </xdr:nvSpPr>
      <xdr:spPr>
        <a:xfrm>
          <a:off x="6286500" y="638175"/>
          <a:ext cx="2988500" cy="515206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ucida Fax" panose="02060602050505020204" pitchFamily="18" charset="0"/>
            </a:rPr>
            <a:t>Stock In</a:t>
          </a:r>
          <a:r>
            <a:rPr lang="en-US" sz="18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j-lt"/>
            </a:rPr>
            <a:t>*</a:t>
          </a:r>
          <a:endParaRPr lang="en-US" sz="105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j-lt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/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/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/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/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/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/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/>
        <xdr:cNvSpPr/>
      </xdr:nvSpPr>
      <xdr:spPr>
        <a:xfrm>
          <a:off x="0" y="0"/>
          <a:ext cx="2714625" cy="45910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8575">
          <a:solidFill>
            <a:schemeClr val="accent4">
              <a:lumMod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/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8575">
          <a:solidFill>
            <a:schemeClr val="accent4">
              <a:lumMod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2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Instructions</a:t>
          </a:r>
        </a:p>
        <a:p>
          <a:pPr marL="0" indent="0" algn="ctr"/>
          <a:endParaRPr lang="en-US" sz="280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Once you fill user</a:t>
          </a: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 baseline="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If you want a customize Template you can take a </a:t>
          </a:r>
          <a:r>
            <a:rPr lang="en-US" sz="1800" u="none" baseline="0">
              <a:solidFill>
                <a:srgbClr val="0070C0"/>
              </a:solidFill>
              <a:latin typeface="Georgia" panose="02040502050405020303" pitchFamily="18" charset="0"/>
              <a:ea typeface="+mn-ea"/>
              <a:cs typeface="+mn-cs"/>
            </a:rPr>
            <a:t>quote </a:t>
          </a:r>
          <a:r>
            <a:rPr lang="en-US" sz="1050" u="none" baseline="0">
              <a:solidFill>
                <a:srgbClr val="0070C0"/>
              </a:solidFill>
              <a:latin typeface="Georgia" panose="02040502050405020303" pitchFamily="18" charset="0"/>
              <a:ea typeface="+mn-ea"/>
              <a:cs typeface="+mn-cs"/>
            </a:rPr>
            <a:t>(Info@excelchamps.com)</a:t>
          </a:r>
          <a:r>
            <a:rPr lang="en-US" sz="1800" baseline="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 for that.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800">
            <a:solidFill>
              <a:schemeClr val="accent4">
                <a:lumMod val="75000"/>
              </a:schemeClr>
            </a:solidFill>
            <a:latin typeface="Georgia" panose="02040502050405020303" pitchFamily="18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/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Menu</a:t>
          </a:r>
        </a:p>
      </xdr:txBody>
    </xdr:sp>
    <xdr:clientData/>
  </xdr:twoCellAnchor>
  <xdr:oneCellAnchor>
    <xdr:from>
      <xdr:col>0</xdr:col>
      <xdr:colOff>25979</xdr:colOff>
      <xdr:row>19</xdr:row>
      <xdr:rowOff>174123</xdr:rowOff>
    </xdr:from>
    <xdr:ext cx="2669596" cy="311496"/>
    <xdr:sp macro="" textlink="">
      <xdr:nvSpPr>
        <xdr:cNvPr id="15" name="PoweredBy" hidden="1"/>
        <xdr:cNvSpPr/>
      </xdr:nvSpPr>
      <xdr:spPr>
        <a:xfrm>
          <a:off x="25979" y="3793623"/>
          <a:ext cx="2669596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/>
              <a:latin typeface="Poiret One" panose="02000000000000000000" pitchFamily="2" charset="0"/>
              <a:cs typeface="Courier New" panose="02070309020205020404" pitchFamily="49" charset="0"/>
            </a:rPr>
            <a:t>Powered </a:t>
          </a:r>
          <a:r>
            <a:rPr lang="en-US" sz="1400" b="0" cap="none" spc="0" baseline="0">
              <a:ln w="0"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/>
              <a:latin typeface="Poiret One" panose="02000000000000000000" pitchFamily="2" charset="0"/>
              <a:cs typeface="Courier New" panose="02070309020205020404" pitchFamily="49" charset="0"/>
            </a:rPr>
            <a:t>By - ExcelChamps.com</a:t>
          </a:r>
          <a:endParaRPr lang="en-US" sz="1400" b="0" cap="none" spc="0">
            <a:ln w="0">
              <a:solidFill>
                <a:sysClr val="windowText" lastClr="000000"/>
              </a:solidFill>
            </a:ln>
            <a:solidFill>
              <a:sysClr val="windowText" lastClr="000000"/>
            </a:solidFill>
            <a:effectLst/>
            <a:latin typeface="Poiret One" panose="02000000000000000000" pitchFamily="2" charset="0"/>
            <a:cs typeface="Courier New" panose="02070309020205020404" pitchFamily="49" charset="0"/>
          </a:endParaRPr>
        </a:p>
      </xdr:txBody>
    </xdr:sp>
    <xdr:clientData/>
  </xdr:oneCellAnchor>
  <xdr:twoCellAnchor>
    <xdr:from>
      <xdr:col>0</xdr:col>
      <xdr:colOff>57150</xdr:colOff>
      <xdr:row>6</xdr:row>
      <xdr:rowOff>19050</xdr:rowOff>
    </xdr:from>
    <xdr:to>
      <xdr:col>1</xdr:col>
      <xdr:colOff>642366</xdr:colOff>
      <xdr:row>9</xdr:row>
      <xdr:rowOff>0</xdr:rowOff>
    </xdr:to>
    <xdr:sp macro="[0]!EnterStockInSheet" textlink="">
      <xdr:nvSpPr>
        <xdr:cNvPr id="10" name="EnterStockIn" hidden="1"/>
        <xdr:cNvSpPr/>
      </xdr:nvSpPr>
      <xdr:spPr>
        <a:xfrm>
          <a:off x="57150" y="1162050"/>
          <a:ext cx="1271016" cy="552450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In</a:t>
          </a:r>
        </a:p>
      </xdr:txBody>
    </xdr:sp>
    <xdr:clientData/>
  </xdr:twoCellAnchor>
  <xdr:twoCellAnchor>
    <xdr:from>
      <xdr:col>2</xdr:col>
      <xdr:colOff>9526</xdr:colOff>
      <xdr:row>6</xdr:row>
      <xdr:rowOff>19048</xdr:rowOff>
    </xdr:from>
    <xdr:to>
      <xdr:col>3</xdr:col>
      <xdr:colOff>594742</xdr:colOff>
      <xdr:row>8</xdr:row>
      <xdr:rowOff>186688</xdr:rowOff>
    </xdr:to>
    <xdr:sp macro="[0]!EnterStockOutSheet" textlink="">
      <xdr:nvSpPr>
        <xdr:cNvPr id="11" name="EnterStockOut" hidden="1"/>
        <xdr:cNvSpPr/>
      </xdr:nvSpPr>
      <xdr:spPr>
        <a:xfrm>
          <a:off x="1381126" y="1162048"/>
          <a:ext cx="1271016" cy="548640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/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ea typeface="+mn-ea"/>
              <a:cs typeface="Segoe UI Semilight" panose="020B0402040204020203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133350</xdr:rowOff>
    </xdr:from>
    <xdr:to>
      <xdr:col>1</xdr:col>
      <xdr:colOff>647699</xdr:colOff>
      <xdr:row>13</xdr:row>
      <xdr:rowOff>142875</xdr:rowOff>
    </xdr:to>
    <xdr:sp macro="[0]!StockInSheet" textlink="">
      <xdr:nvSpPr>
        <xdr:cNvPr id="13" name="StockInSheet" hidden="1"/>
        <xdr:cNvSpPr/>
      </xdr:nvSpPr>
      <xdr:spPr>
        <a:xfrm>
          <a:off x="66674" y="2038350"/>
          <a:ext cx="1266825" cy="581025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13</xdr:row>
      <xdr:rowOff>133350</xdr:rowOff>
    </xdr:to>
    <xdr:sp macro="[0]!StockOutSheet" textlink="">
      <xdr:nvSpPr>
        <xdr:cNvPr id="14" name="StockOutSheet" hidden="1"/>
        <xdr:cNvSpPr/>
      </xdr:nvSpPr>
      <xdr:spPr>
        <a:xfrm>
          <a:off x="1390650" y="2038350"/>
          <a:ext cx="1271016" cy="571500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  <a:ea typeface="+mn-ea"/>
              <a:cs typeface="+mn-cs"/>
            </a:rPr>
            <a:t>Stock Out</a:t>
          </a:r>
        </a:p>
      </xdr:txBody>
    </xdr:sp>
    <xdr:clientData/>
  </xdr:twoCellAnchor>
  <xdr:twoCellAnchor editAs="oneCell">
    <xdr:from>
      <xdr:col>1</xdr:col>
      <xdr:colOff>19050</xdr:colOff>
      <xdr:row>21</xdr:row>
      <xdr:rowOff>152400</xdr:rowOff>
    </xdr:from>
    <xdr:to>
      <xdr:col>1</xdr:col>
      <xdr:colOff>238506</xdr:colOff>
      <xdr:row>22</xdr:row>
      <xdr:rowOff>181356</xdr:rowOff>
    </xdr:to>
    <xdr:pic>
      <xdr:nvPicPr>
        <xdr:cNvPr id="28" name="Facebook" hidden="1">
          <a:hlinkClick xmlns:r="http://schemas.openxmlformats.org/officeDocument/2006/relationships" r:id="rId7" tooltip="Facebook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4152900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1</xdr:col>
      <xdr:colOff>438150</xdr:colOff>
      <xdr:row>21</xdr:row>
      <xdr:rowOff>152400</xdr:rowOff>
    </xdr:from>
    <xdr:to>
      <xdr:col>1</xdr:col>
      <xdr:colOff>657606</xdr:colOff>
      <xdr:row>22</xdr:row>
      <xdr:rowOff>181356</xdr:rowOff>
    </xdr:to>
    <xdr:pic>
      <xdr:nvPicPr>
        <xdr:cNvPr id="16" name="Twitter" hidden="1">
          <a:hlinkClick xmlns:r="http://schemas.openxmlformats.org/officeDocument/2006/relationships" r:id="rId9" tooltip="Twitter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" y="4152900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159525</xdr:colOff>
      <xdr:row>21</xdr:row>
      <xdr:rowOff>150000</xdr:rowOff>
    </xdr:from>
    <xdr:to>
      <xdr:col>2</xdr:col>
      <xdr:colOff>378981</xdr:colOff>
      <xdr:row>22</xdr:row>
      <xdr:rowOff>178956</xdr:rowOff>
    </xdr:to>
    <xdr:pic>
      <xdr:nvPicPr>
        <xdr:cNvPr id="17" name="Google+" hidden="1">
          <a:hlinkClick xmlns:r="http://schemas.openxmlformats.org/officeDocument/2006/relationships" r:id="rId9" tooltip="Google+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1125" y="4150500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576225</xdr:colOff>
      <xdr:row>21</xdr:row>
      <xdr:rowOff>147600</xdr:rowOff>
    </xdr:from>
    <xdr:to>
      <xdr:col>3</xdr:col>
      <xdr:colOff>109881</xdr:colOff>
      <xdr:row>22</xdr:row>
      <xdr:rowOff>176556</xdr:rowOff>
    </xdr:to>
    <xdr:pic>
      <xdr:nvPicPr>
        <xdr:cNvPr id="18" name="Youtube" hidden="1">
          <a:hlinkClick xmlns:r="http://schemas.openxmlformats.org/officeDocument/2006/relationships" r:id="rId12" tooltip="YouTube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825" y="4148100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21</xdr:row>
      <xdr:rowOff>161925</xdr:rowOff>
    </xdr:from>
    <xdr:to>
      <xdr:col>0</xdr:col>
      <xdr:colOff>533781</xdr:colOff>
      <xdr:row>22</xdr:row>
      <xdr:rowOff>177191</xdr:rowOff>
    </xdr:to>
    <xdr:pic>
      <xdr:nvPicPr>
        <xdr:cNvPr id="19" name="Web" hidden="1">
          <a:hlinkClick xmlns:r="http://schemas.openxmlformats.org/officeDocument/2006/relationships" r:id="rId14" tooltip="Website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4162425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152400</xdr:rowOff>
    </xdr:to>
    <xdr:sp macro="[0]!EnterNewProductSheet" textlink="">
      <xdr:nvSpPr>
        <xdr:cNvPr id="7" name="NewProduct" hidden="1"/>
        <xdr:cNvSpPr/>
      </xdr:nvSpPr>
      <xdr:spPr>
        <a:xfrm>
          <a:off x="57148" y="733424"/>
          <a:ext cx="2609851" cy="371476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16</xdr:row>
      <xdr:rowOff>171450</xdr:rowOff>
    </xdr:from>
    <xdr:to>
      <xdr:col>3</xdr:col>
      <xdr:colOff>600075</xdr:colOff>
      <xdr:row>18</xdr:row>
      <xdr:rowOff>152400</xdr:rowOff>
    </xdr:to>
    <xdr:sp macro="[0]!StockReport" textlink="">
      <xdr:nvSpPr>
        <xdr:cNvPr id="43" name="StockReport" hidden="1"/>
        <xdr:cNvSpPr/>
      </xdr:nvSpPr>
      <xdr:spPr>
        <a:xfrm>
          <a:off x="57150" y="3219450"/>
          <a:ext cx="2600325" cy="361950"/>
        </a:xfrm>
        <a:prstGeom prst="roundRect">
          <a:avLst>
            <a:gd name="adj" fmla="val 50000"/>
          </a:avLst>
        </a:prstGeom>
        <a:solidFill>
          <a:schemeClr val="accent4"/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accent5">
                  <a:lumMod val="50000"/>
                </a:schemeClr>
              </a:solidFill>
              <a:latin typeface="Georgia" panose="02040502050405020303" pitchFamily="18" charset="0"/>
            </a:rPr>
            <a:t>Stock Report</a:t>
          </a:r>
        </a:p>
      </xdr:txBody>
    </xdr:sp>
    <xdr:clientData/>
  </xdr:twoCellAnchor>
  <xdr:twoCellAnchor>
    <xdr:from>
      <xdr:col>0</xdr:col>
      <xdr:colOff>47625</xdr:colOff>
      <xdr:row>14</xdr:row>
      <xdr:rowOff>19050</xdr:rowOff>
    </xdr:from>
    <xdr:to>
      <xdr:col>3</xdr:col>
      <xdr:colOff>600076</xdr:colOff>
      <xdr:row>15</xdr:row>
      <xdr:rowOff>161925</xdr:rowOff>
    </xdr:to>
    <xdr:sp macro="[0]!ProductMasterSheet" textlink="">
      <xdr:nvSpPr>
        <xdr:cNvPr id="29" name="ProductMaster" hidden="1"/>
        <xdr:cNvSpPr/>
      </xdr:nvSpPr>
      <xdr:spPr>
        <a:xfrm>
          <a:off x="47625" y="2686050"/>
          <a:ext cx="2609851" cy="333375"/>
        </a:xfrm>
        <a:prstGeom prst="roundRect">
          <a:avLst>
            <a:gd name="adj" fmla="val 6140"/>
          </a:avLst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accent4">
                  <a:lumMod val="50000"/>
                </a:schemeClr>
              </a:solidFill>
              <a:latin typeface="Georgia" panose="02040502050405020303" pitchFamily="18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/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chemeClr val="accent4">
                  <a:lumMod val="75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/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>
              <a:solidFill>
                <a:schemeClr val="accent4">
                  <a:lumMod val="20000"/>
                  <a:lumOff val="80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Welcome To Inventory</a:t>
          </a:r>
          <a:r>
            <a:rPr lang="en-US" sz="2800" baseline="0">
              <a:solidFill>
                <a:schemeClr val="accent4">
                  <a:lumMod val="20000"/>
                  <a:lumOff val="80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 Management Template</a:t>
          </a:r>
        </a:p>
        <a:p>
          <a:pPr algn="ctr"/>
          <a:endParaRPr lang="en-US" sz="1050" baseline="0"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r>
            <a:rPr lang="en-US" sz="1200" baseline="0">
              <a:solidFill>
                <a:schemeClr val="accent4">
                  <a:lumMod val="20000"/>
                  <a:lumOff val="80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Powered By</a:t>
          </a: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r>
            <a:rPr lang="en-US" sz="3200" baseline="0">
              <a:solidFill>
                <a:schemeClr val="accent4">
                  <a:lumMod val="60000"/>
                  <a:lumOff val="40000"/>
                </a:schemeClr>
              </a:solidFill>
              <a:latin typeface="Georgia" panose="02040502050405020303" pitchFamily="18" charset="0"/>
              <a:cs typeface="Segoe UI Semilight" panose="020B0402040204020203" pitchFamily="34" charset="0"/>
            </a:rPr>
            <a:t>ExcelChamps.com</a:t>
          </a:r>
        </a:p>
        <a:p>
          <a:pPr algn="ctr"/>
          <a:r>
            <a:rPr lang="en-US" sz="1200" u="sng" baseline="0">
              <a:solidFill>
                <a:schemeClr val="tx1"/>
              </a:solidFill>
              <a:latin typeface="Segoe UI Semilight" panose="020B0402040204020203" pitchFamily="34" charset="0"/>
              <a:cs typeface="Segoe UI Semilight" panose="020B0402040204020203" pitchFamily="34" charset="0"/>
            </a:rPr>
            <a:t>Most Amazing Excel Tips On Internet</a:t>
          </a: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r>
            <a:rPr lang="en-US" sz="1200" baseline="0">
              <a:solidFill>
                <a:schemeClr val="accent4">
                  <a:lumMod val="20000"/>
                  <a:lumOff val="80000"/>
                </a:schemeClr>
              </a:solidFill>
              <a:latin typeface="Consolas" panose="020B0609020204030204" pitchFamily="49" charset="0"/>
              <a:cs typeface="Segoe UI Semilight" panose="020B0402040204020203" pitchFamily="34" charset="0"/>
            </a:rPr>
            <a:t>Press Below Buttons To Share This Template With Your Best Buddies</a:t>
          </a: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r>
            <a:rPr lang="en-US" sz="1200" baseline="0">
              <a:solidFill>
                <a:schemeClr val="accent4">
                  <a:lumMod val="20000"/>
                  <a:lumOff val="80000"/>
                </a:schemeClr>
              </a:solidFill>
              <a:latin typeface="Consolas" panose="020B0609020204030204" pitchFamily="49" charset="0"/>
              <a:cs typeface="Segoe UI Semilight" panose="020B0402040204020203" pitchFamily="34" charset="0"/>
            </a:rPr>
            <a:t>Press Continue To Go Ahead</a:t>
          </a: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  <a:p>
          <a:pPr algn="ctr"/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Georgia" panose="02040502050405020303" pitchFamily="18" charset="0"/>
            <a:cs typeface="Segoe UI Semilight" panose="020B0402040204020203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/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22340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chemeClr val="tx1"/>
              </a:solidFill>
              <a:latin typeface="Georgia" panose="02040502050405020303" pitchFamily="18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7" tooltip="ShareOnTwitter"/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19" tooltip="Mail Your Buddies"/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1" tooltip="Share On LinkedIn"/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3" tooltip="Share On Pinterest"/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5" tooltip="Share On Google+"/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7" tooltip="ShareOnFacebook"/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/>
        <xdr:cNvSpPr/>
      </xdr:nvSpPr>
      <xdr:spPr>
        <a:xfrm>
          <a:off x="0" y="0"/>
          <a:ext cx="6581775" cy="561974"/>
        </a:xfrm>
        <a:prstGeom prst="rect">
          <a:avLst/>
        </a:prstGeom>
        <a:solidFill>
          <a:schemeClr val="tx2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4000">
              <a:ln>
                <a:solidFill>
                  <a:schemeClr val="tx2"/>
                </a:solidFill>
              </a:ln>
              <a:latin typeface="Georgia" panose="02040502050405020303" pitchFamily="18" charset="0"/>
              <a:cs typeface="Segoe UI Semilight" panose="020B0402040204020203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2</xdr:col>
      <xdr:colOff>1943100</xdr:colOff>
      <xdr:row>2</xdr:row>
      <xdr:rowOff>104775</xdr:rowOff>
    </xdr:to>
    <xdr:sp macro="[0]!ShowDashboard" textlink="">
      <xdr:nvSpPr>
        <xdr:cNvPr id="4" name="Rounded Rectangle 3"/>
        <xdr:cNvSpPr/>
      </xdr:nvSpPr>
      <xdr:spPr>
        <a:xfrm>
          <a:off x="4629150" y="66675"/>
          <a:ext cx="1885950" cy="41910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Georgia" panose="02040502050405020303" pitchFamily="18" charset="0"/>
            </a:rPr>
            <a:t>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5</xdr:row>
      <xdr:rowOff>76201</xdr:rowOff>
    </xdr:to>
    <xdr:sp macro="[0]!EnterStockIn" textlink="">
      <xdr:nvSpPr>
        <xdr:cNvPr id="5" name="Rounded Rectangle 4"/>
        <xdr:cNvSpPr/>
      </xdr:nvSpPr>
      <xdr:spPr>
        <a:xfrm>
          <a:off x="4638675" y="790576"/>
          <a:ext cx="1905000" cy="381000"/>
        </a:xfrm>
        <a:prstGeom prst="roundRect">
          <a:avLst>
            <a:gd name="adj" fmla="val 1141"/>
          </a:avLst>
        </a:prstGeom>
        <a:solidFill>
          <a:schemeClr val="accent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Georgia" panose="02040502050405020303" pitchFamily="18" charset="0"/>
            </a:rPr>
            <a:t>Enter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/>
        <xdr:cNvSpPr/>
      </xdr:nvSpPr>
      <xdr:spPr>
        <a:xfrm>
          <a:off x="0" y="0"/>
          <a:ext cx="6581775" cy="561974"/>
        </a:xfrm>
        <a:prstGeom prst="rect">
          <a:avLst/>
        </a:prstGeom>
        <a:solidFill>
          <a:schemeClr val="tx2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4000">
              <a:ln>
                <a:solidFill>
                  <a:schemeClr val="tx2"/>
                </a:solidFill>
              </a:ln>
              <a:latin typeface="Georgia" panose="02040502050405020303" pitchFamily="18" charset="0"/>
              <a:cs typeface="Segoe UI Semilight" panose="020B0402040204020203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2</xdr:col>
      <xdr:colOff>1943100</xdr:colOff>
      <xdr:row>2</xdr:row>
      <xdr:rowOff>104775</xdr:rowOff>
    </xdr:to>
    <xdr:sp macro="[0]!ShowDashboard" textlink="">
      <xdr:nvSpPr>
        <xdr:cNvPr id="3" name="Rounded Rectangle 2"/>
        <xdr:cNvSpPr/>
      </xdr:nvSpPr>
      <xdr:spPr>
        <a:xfrm>
          <a:off x="4629150" y="66675"/>
          <a:ext cx="1885950" cy="41910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Georgia" panose="02040502050405020303" pitchFamily="18" charset="0"/>
            </a:rPr>
            <a:t>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5</xdr:row>
      <xdr:rowOff>76201</xdr:rowOff>
    </xdr:to>
    <xdr:sp macro="[0]!EnterStockOut" textlink="">
      <xdr:nvSpPr>
        <xdr:cNvPr id="4" name="Rounded Rectangle 3"/>
        <xdr:cNvSpPr/>
      </xdr:nvSpPr>
      <xdr:spPr>
        <a:xfrm>
          <a:off x="4638675" y="790576"/>
          <a:ext cx="1905000" cy="381000"/>
        </a:xfrm>
        <a:prstGeom prst="roundRect">
          <a:avLst>
            <a:gd name="adj" fmla="val 1141"/>
          </a:avLst>
        </a:prstGeom>
        <a:solidFill>
          <a:schemeClr val="accent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Georgia" panose="02040502050405020303" pitchFamily="18" charset="0"/>
            </a:rPr>
            <a:t>Enter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/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/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/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/>
        <xdr:cNvSpPr/>
      </xdr:nvSpPr>
      <xdr:spPr>
        <a:xfrm>
          <a:off x="0" y="0"/>
          <a:ext cx="6581775" cy="561974"/>
        </a:xfrm>
        <a:prstGeom prst="rect">
          <a:avLst/>
        </a:prstGeom>
        <a:solidFill>
          <a:schemeClr val="tx2"/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4000">
              <a:ln>
                <a:solidFill>
                  <a:schemeClr val="tx2"/>
                </a:solidFill>
              </a:ln>
              <a:latin typeface="Georgia" panose="02040502050405020303" pitchFamily="18" charset="0"/>
              <a:cs typeface="Segoe UI Semilight" panose="020B0402040204020203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2</xdr:col>
      <xdr:colOff>1943100</xdr:colOff>
      <xdr:row>2</xdr:row>
      <xdr:rowOff>104775</xdr:rowOff>
    </xdr:to>
    <xdr:sp macro="[0]!ShowDashboard" textlink="">
      <xdr:nvSpPr>
        <xdr:cNvPr id="3" name="Rounded Rectangle 2"/>
        <xdr:cNvSpPr/>
      </xdr:nvSpPr>
      <xdr:spPr>
        <a:xfrm>
          <a:off x="4629150" y="66675"/>
          <a:ext cx="1885950" cy="41910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Georgia" panose="02040502050405020303" pitchFamily="18" charset="0"/>
            </a:rPr>
            <a:t>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5</xdr:row>
      <xdr:rowOff>76201</xdr:rowOff>
    </xdr:to>
    <xdr:sp macro="[0]!EnterNewProduct" textlink="">
      <xdr:nvSpPr>
        <xdr:cNvPr id="4" name="Rounded Rectangle 3"/>
        <xdr:cNvSpPr/>
      </xdr:nvSpPr>
      <xdr:spPr>
        <a:xfrm>
          <a:off x="4638675" y="790576"/>
          <a:ext cx="1905000" cy="381000"/>
        </a:xfrm>
        <a:prstGeom prst="roundRect">
          <a:avLst>
            <a:gd name="adj" fmla="val 1141"/>
          </a:avLst>
        </a:prstGeom>
        <a:solidFill>
          <a:schemeClr val="accent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Georgia" panose="02040502050405020303" pitchFamily="18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xcelChamps.com" refreshedDate="42630.563248958337" createdVersion="5" refreshedVersion="6" minRefreshableVersion="3" recordCount="10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23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0"/>
    <n v="223960"/>
  </r>
  <r>
    <n v="3"/>
    <s v="P000042"/>
    <s v="Chef Collection"/>
    <s v="Dishwasher"/>
    <x v="0"/>
    <n v="1099"/>
    <n v="10"/>
    <n v="50"/>
    <n v="5495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7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StockInData" displayName="StockInData" ref="A1:H20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6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1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4"/>
  <sheetViews>
    <sheetView showGridLines="0" showRowColHeaders="0" tabSelected="1" workbookViewId="0">
      <selection activeCell="K12" sqref="K12:L12"/>
    </sheetView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47" t="s">
        <v>38</v>
      </c>
      <c r="L12" s="48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</sheetData>
  <sheetProtection sheet="1" objects="1" scenarios="1"/>
  <mergeCells count="1">
    <mergeCell ref="K12:L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ProductMaster!$C$2:$C$11</xm:f>
          </x14:formula1>
          <xm:sqref>K12:L12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E16" sqref="E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2" t="str">
        <f>SUM(ProductMaster[Current Stock])&amp; " Unit(s)"</f>
        <v>635 Unit(s)</v>
      </c>
      <c r="D1" s="17"/>
      <c r="E1" s="17"/>
      <c r="F1" s="18" t="s">
        <v>31</v>
      </c>
      <c r="G1" t="s">
        <v>37</v>
      </c>
    </row>
    <row r="2" spans="1:7" x14ac:dyDescent="0.25">
      <c r="A2" t="s">
        <v>26</v>
      </c>
      <c r="B2" s="16">
        <f>SUM(ProductMaster[Value])</f>
        <v>634784.04999999993</v>
      </c>
      <c r="F2" s="19" t="s">
        <v>10</v>
      </c>
      <c r="G2" s="20">
        <v>175</v>
      </c>
    </row>
    <row r="3" spans="1:7" x14ac:dyDescent="0.25">
      <c r="A3" t="s">
        <v>27</v>
      </c>
      <c r="B3" s="17">
        <f ca="1">DATE(YEAR(TODAY()),MONTH(TODAY()),1)-1</f>
        <v>42613</v>
      </c>
      <c r="F3" s="19" t="s">
        <v>33</v>
      </c>
      <c r="G3" s="20">
        <v>330</v>
      </c>
    </row>
    <row r="4" spans="1:7" x14ac:dyDescent="0.25">
      <c r="A4" t="s">
        <v>28</v>
      </c>
      <c r="B4" s="17">
        <f ca="1">EOMONTH(TODAY(),0)+1</f>
        <v>42644</v>
      </c>
      <c r="F4" s="19" t="s">
        <v>35</v>
      </c>
      <c r="G4" s="20">
        <v>100</v>
      </c>
    </row>
    <row r="5" spans="1:7" x14ac:dyDescent="0.25">
      <c r="A5" t="s">
        <v>29</v>
      </c>
      <c r="B5" s="2" t="str">
        <f ca="1">SUMIFS(StockInData[Quantity],StockInData[Date],"&gt;"&amp;Help!B3,StockInData[Date],"&lt;"&amp;Help!B4)&amp;" Unit(s)"</f>
        <v>0 Unit(s)</v>
      </c>
      <c r="F5" s="19" t="s">
        <v>36</v>
      </c>
      <c r="G5" s="20">
        <v>30</v>
      </c>
    </row>
    <row r="6" spans="1:7" x14ac:dyDescent="0.25">
      <c r="A6" t="s">
        <v>30</v>
      </c>
      <c r="B6" s="2" t="str">
        <f ca="1">SUMIFS(StockOutData[Quantity],StockOutData[Date],"&gt;"&amp;Help!B3,StockOutData[Date],"&lt;"&amp;Help!B4)&amp;" Unit(s)"</f>
        <v>0 Unit(s)</v>
      </c>
      <c r="F6" s="19" t="s">
        <v>32</v>
      </c>
      <c r="G6" s="20">
        <v>635</v>
      </c>
    </row>
    <row r="7" spans="1:7" x14ac:dyDescent="0.25">
      <c r="A7" t="s">
        <v>52</v>
      </c>
      <c r="B7" s="27">
        <f>MATCH(Dashboard!K12,ProductMaster[Product Name],0)</f>
        <v>8</v>
      </c>
    </row>
    <row r="8" spans="1:7" x14ac:dyDescent="0.25">
      <c r="A8" t="s">
        <v>3</v>
      </c>
      <c r="B8" s="27" t="str">
        <f>VLOOKUP(B7,ProductMaster[#All],3,0)</f>
        <v>Galaxy Tab A</v>
      </c>
    </row>
    <row r="9" spans="1:7" x14ac:dyDescent="0.25">
      <c r="A9" t="s">
        <v>11</v>
      </c>
      <c r="B9">
        <f>VLOOKUP(B7,ProductMaster[#All],7,0)</f>
        <v>60</v>
      </c>
    </row>
    <row r="10" spans="1:7" x14ac:dyDescent="0.25">
      <c r="A10" t="s">
        <v>26</v>
      </c>
      <c r="B10">
        <f>VLOOKUP(B7,ProductMaster[#All],8,0)</f>
        <v>70</v>
      </c>
    </row>
    <row r="11" spans="1:7" x14ac:dyDescent="0.25">
      <c r="A11" t="s">
        <v>26</v>
      </c>
      <c r="B11" s="16">
        <f>VLOOKUP(B7,ProductMaster[#All],6,0)</f>
        <v>279.89999999999998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70 Unit(s). And, Stock Value is $280</v>
      </c>
    </row>
    <row r="13" spans="1:7" x14ac:dyDescent="0.25">
      <c r="A13" t="s">
        <v>54</v>
      </c>
      <c r="B13" t="str">
        <f>B8&amp;"'s"</f>
        <v>Galaxy Tab A's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8.5" bestFit="1" customWidth="1"/>
    <col min="2" max="2" width="31.5" style="12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"/>
      <c r="B1" s="35"/>
      <c r="C1" s="1"/>
    </row>
    <row r="2" spans="1:3" x14ac:dyDescent="0.25">
      <c r="A2" s="1"/>
      <c r="B2" s="35"/>
      <c r="C2" s="1"/>
    </row>
    <row r="3" spans="1:3" x14ac:dyDescent="0.25">
      <c r="A3" s="1"/>
      <c r="B3" s="35"/>
      <c r="C3" s="1"/>
    </row>
    <row r="4" spans="1:3" x14ac:dyDescent="0.25">
      <c r="A4" s="1"/>
      <c r="B4" s="35"/>
      <c r="C4" s="1"/>
    </row>
    <row r="5" spans="1:3" ht="26.25" x14ac:dyDescent="0.4">
      <c r="A5" s="36" t="s">
        <v>0</v>
      </c>
      <c r="B5" s="37" t="str">
        <f>IF(B8="","",(MAX(StockInData[S No.])+1))</f>
        <v/>
      </c>
      <c r="C5" s="1"/>
    </row>
    <row r="6" spans="1:3" ht="26.25" x14ac:dyDescent="0.4">
      <c r="A6" s="36" t="s">
        <v>1</v>
      </c>
      <c r="B6" s="38" t="str">
        <f ca="1">IF(B8="","",TODAY())</f>
        <v/>
      </c>
      <c r="C6" s="1"/>
    </row>
    <row r="7" spans="1:3" ht="26.25" x14ac:dyDescent="0.4">
      <c r="A7" s="36" t="s">
        <v>2</v>
      </c>
      <c r="B7" s="39" t="str">
        <f>IFERROR(INDEX(ProductMaster[Product ID],MATCH(EnterStockIn!B8,ProductMaster[Product Name],0),0),"")</f>
        <v/>
      </c>
      <c r="C7" s="1"/>
    </row>
    <row r="8" spans="1:3" ht="26.25" x14ac:dyDescent="0.4">
      <c r="A8" s="36" t="s">
        <v>3</v>
      </c>
      <c r="B8" s="46"/>
      <c r="C8" s="1"/>
    </row>
    <row r="9" spans="1:3" ht="26.25" x14ac:dyDescent="0.4">
      <c r="A9" s="36" t="s">
        <v>4</v>
      </c>
      <c r="B9" s="39" t="str">
        <f>IFERROR(INDEX(ProductMaster[Product Description],MATCH(EnterStockIn!B8,ProductMaster[Product Name],0),0),"")</f>
        <v/>
      </c>
      <c r="C9" s="1"/>
    </row>
    <row r="10" spans="1:3" ht="26.25" x14ac:dyDescent="0.4">
      <c r="A10" s="36" t="s">
        <v>5</v>
      </c>
      <c r="B10" s="39" t="str">
        <f>IFERROR(INDEX(ProductMaster[Product Category],MATCH(EnterStockIn!B8,ProductMaster[Product Name],0),0),"")</f>
        <v/>
      </c>
      <c r="C10" s="1"/>
    </row>
    <row r="11" spans="1:3" ht="26.25" x14ac:dyDescent="0.4">
      <c r="A11" s="36" t="s">
        <v>6</v>
      </c>
      <c r="B11" s="46"/>
      <c r="C11" s="1"/>
    </row>
    <row r="12" spans="1:3" ht="27" thickBot="1" x14ac:dyDescent="0.45">
      <c r="A12" s="40" t="s">
        <v>7</v>
      </c>
      <c r="B12" s="41" t="str">
        <f>IF(B11="","",(IFERROR(INDEX(ProductMaster[Unit Price],MATCH(EnterStockIn!B8,ProductMaster[Product Name],0),0),0)*B11))</f>
        <v/>
      </c>
      <c r="C12" s="1"/>
    </row>
    <row r="13" spans="1:3" ht="15.75" thickTop="1" x14ac:dyDescent="0.25">
      <c r="A13" s="1"/>
      <c r="B13" s="35"/>
      <c r="C13" s="1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12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"/>
      <c r="B1" s="35"/>
      <c r="C1" s="1"/>
    </row>
    <row r="2" spans="1:3" x14ac:dyDescent="0.25">
      <c r="A2" s="1"/>
      <c r="B2" s="35"/>
      <c r="C2" s="1"/>
    </row>
    <row r="3" spans="1:3" x14ac:dyDescent="0.25">
      <c r="A3" s="1"/>
      <c r="B3" s="35"/>
      <c r="C3" s="1"/>
    </row>
    <row r="4" spans="1:3" x14ac:dyDescent="0.25">
      <c r="A4" s="1"/>
      <c r="B4" s="35"/>
      <c r="C4" s="1"/>
    </row>
    <row r="5" spans="1:3" ht="26.25" x14ac:dyDescent="0.4">
      <c r="A5" s="36" t="s">
        <v>0</v>
      </c>
      <c r="B5" s="37" t="str">
        <f>IF(B8="","",(MAX(StockInData[S No.])+1))</f>
        <v/>
      </c>
      <c r="C5" s="1"/>
    </row>
    <row r="6" spans="1:3" ht="26.25" x14ac:dyDescent="0.4">
      <c r="A6" s="36" t="s">
        <v>1</v>
      </c>
      <c r="B6" s="38" t="str">
        <f ca="1">IF(B8="","",TODAY())</f>
        <v/>
      </c>
      <c r="C6" s="1"/>
    </row>
    <row r="7" spans="1:3" ht="26.25" x14ac:dyDescent="0.4">
      <c r="A7" s="36" t="s">
        <v>2</v>
      </c>
      <c r="B7" s="39" t="str">
        <f>IFERROR(INDEX(ProductMaster[Product ID],MATCH(EnterStockOut!B8,ProductMaster[Product Name],0),0),"")</f>
        <v/>
      </c>
      <c r="C7" s="1"/>
    </row>
    <row r="8" spans="1:3" ht="26.25" x14ac:dyDescent="0.4">
      <c r="A8" s="36" t="s">
        <v>3</v>
      </c>
      <c r="B8" s="46"/>
      <c r="C8" s="1"/>
    </row>
    <row r="9" spans="1:3" ht="26.25" x14ac:dyDescent="0.4">
      <c r="A9" s="36" t="s">
        <v>4</v>
      </c>
      <c r="B9" s="39" t="str">
        <f>IFERROR(INDEX(ProductMaster[Product Description],MATCH(EnterStockOut!B8,ProductMaster[Product Name],0),0),"")</f>
        <v/>
      </c>
      <c r="C9" s="1"/>
    </row>
    <row r="10" spans="1:3" ht="26.25" x14ac:dyDescent="0.4">
      <c r="A10" s="36" t="s">
        <v>5</v>
      </c>
      <c r="B10" s="39" t="str">
        <f>IFERROR(INDEX(ProductMaster[Product Category],MATCH(EnterStockOut!B8,ProductMaster[Product Name],0),0),"")</f>
        <v/>
      </c>
      <c r="C10" s="1"/>
    </row>
    <row r="11" spans="1:3" ht="26.25" x14ac:dyDescent="0.4">
      <c r="A11" s="36" t="s">
        <v>6</v>
      </c>
      <c r="B11" s="46"/>
      <c r="C11" s="1"/>
    </row>
    <row r="12" spans="1:3" ht="27" thickBot="1" x14ac:dyDescent="0.45">
      <c r="A12" s="40" t="s">
        <v>7</v>
      </c>
      <c r="B12" s="41" t="str">
        <f>IF(B11="","",(IFERROR(INDEX(ProductMaster[Unit Price],MATCH(EnterStockOut!B8,ProductMaster[Product Name],0),0),0)*B11))</f>
        <v/>
      </c>
      <c r="C12" s="1"/>
    </row>
    <row r="13" spans="1:3" ht="15.75" thickTop="1" x14ac:dyDescent="0.25">
      <c r="A13" s="1"/>
      <c r="B13" s="35"/>
      <c r="C13" s="1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showGridLines="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5" style="2" customWidth="1"/>
    <col min="2" max="2" width="10.125" style="14" customWidth="1"/>
    <col min="3" max="3" width="9.75" style="2" customWidth="1"/>
    <col min="4" max="4" width="15.125" style="2" customWidth="1"/>
    <col min="5" max="5" width="17.125" style="2" customWidth="1"/>
    <col min="6" max="6" width="17.125" customWidth="1"/>
    <col min="7" max="7" width="7.125" customWidth="1"/>
    <col min="8" max="8" width="12.25" customWidth="1"/>
  </cols>
  <sheetData>
    <row r="1" spans="1:8" s="7" customFormat="1" ht="12" x14ac:dyDescent="0.25">
      <c r="A1" s="4" t="s">
        <v>0</v>
      </c>
      <c r="B1" s="1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25">
      <c r="A2" s="3">
        <v>1</v>
      </c>
      <c r="B2" s="6">
        <v>42588</v>
      </c>
      <c r="C2" s="3" t="s">
        <v>14</v>
      </c>
      <c r="D2" s="24" t="s">
        <v>40</v>
      </c>
      <c r="E2" s="24" t="s">
        <v>41</v>
      </c>
      <c r="F2" s="3" t="s">
        <v>10</v>
      </c>
      <c r="G2" s="3">
        <v>20</v>
      </c>
      <c r="H2" s="15">
        <v>8400</v>
      </c>
    </row>
    <row r="3" spans="1:8" x14ac:dyDescent="0.25">
      <c r="A3" s="3">
        <v>2</v>
      </c>
      <c r="B3" s="6">
        <v>42588</v>
      </c>
      <c r="C3" s="3" t="s">
        <v>13</v>
      </c>
      <c r="D3" s="3" t="s">
        <v>9</v>
      </c>
      <c r="E3" s="3" t="s">
        <v>8</v>
      </c>
      <c r="F3" s="3" t="s">
        <v>10</v>
      </c>
      <c r="G3" s="3">
        <v>20</v>
      </c>
      <c r="H3" s="15">
        <v>7000</v>
      </c>
    </row>
    <row r="4" spans="1:8" x14ac:dyDescent="0.25">
      <c r="A4" s="3">
        <v>2</v>
      </c>
      <c r="B4" s="6">
        <v>42588</v>
      </c>
      <c r="C4" s="3" t="s">
        <v>13</v>
      </c>
      <c r="D4" s="3" t="s">
        <v>9</v>
      </c>
      <c r="E4" s="3" t="s">
        <v>8</v>
      </c>
      <c r="F4" s="3" t="s">
        <v>10</v>
      </c>
      <c r="G4" s="3">
        <v>20</v>
      </c>
      <c r="H4" s="15">
        <v>7000</v>
      </c>
    </row>
    <row r="5" spans="1:8" x14ac:dyDescent="0.25">
      <c r="A5" s="3">
        <v>2</v>
      </c>
      <c r="B5" s="6">
        <v>42588</v>
      </c>
      <c r="C5" s="3" t="s">
        <v>13</v>
      </c>
      <c r="D5" s="3" t="s">
        <v>9</v>
      </c>
      <c r="E5" s="3" t="s">
        <v>8</v>
      </c>
      <c r="F5" s="3" t="s">
        <v>10</v>
      </c>
      <c r="G5" s="3">
        <v>20</v>
      </c>
      <c r="H5" s="15">
        <v>7000</v>
      </c>
    </row>
    <row r="6" spans="1:8" x14ac:dyDescent="0.25">
      <c r="A6" s="3">
        <v>2</v>
      </c>
      <c r="B6" s="6">
        <v>42588</v>
      </c>
      <c r="C6" s="3" t="s">
        <v>13</v>
      </c>
      <c r="D6" s="3" t="s">
        <v>9</v>
      </c>
      <c r="E6" s="3" t="s">
        <v>8</v>
      </c>
      <c r="F6" s="3" t="s">
        <v>10</v>
      </c>
      <c r="G6" s="3">
        <v>20</v>
      </c>
      <c r="H6" s="15">
        <v>7000</v>
      </c>
    </row>
    <row r="7" spans="1:8" x14ac:dyDescent="0.25">
      <c r="A7" s="24">
        <v>3</v>
      </c>
      <c r="B7" s="25">
        <v>42590</v>
      </c>
      <c r="C7" s="24" t="s">
        <v>16</v>
      </c>
      <c r="D7" s="24" t="s">
        <v>45</v>
      </c>
      <c r="E7" s="24" t="s">
        <v>44</v>
      </c>
      <c r="F7" s="24" t="s">
        <v>10</v>
      </c>
      <c r="G7" s="24">
        <v>10</v>
      </c>
      <c r="H7" s="26">
        <v>1690</v>
      </c>
    </row>
    <row r="8" spans="1:8" x14ac:dyDescent="0.25">
      <c r="A8" s="24">
        <v>4</v>
      </c>
      <c r="B8" s="25">
        <v>42590</v>
      </c>
      <c r="C8" s="24" t="s">
        <v>14</v>
      </c>
      <c r="D8" s="24" t="s">
        <v>40</v>
      </c>
      <c r="E8" s="24" t="s">
        <v>41</v>
      </c>
      <c r="F8" s="24" t="s">
        <v>10</v>
      </c>
      <c r="G8" s="24">
        <v>10</v>
      </c>
      <c r="H8" s="26">
        <v>55990</v>
      </c>
    </row>
    <row r="9" spans="1:8" x14ac:dyDescent="0.25">
      <c r="A9" s="24">
        <v>5</v>
      </c>
      <c r="B9" s="25">
        <v>42590</v>
      </c>
      <c r="C9" s="24" t="s">
        <v>13</v>
      </c>
      <c r="D9" s="24" t="s">
        <v>47</v>
      </c>
      <c r="E9" s="24" t="s">
        <v>8</v>
      </c>
      <c r="F9" s="24" t="s">
        <v>10</v>
      </c>
      <c r="G9" s="24">
        <v>5</v>
      </c>
      <c r="H9" s="26">
        <v>1750</v>
      </c>
    </row>
    <row r="10" spans="1:8" x14ac:dyDescent="0.25">
      <c r="A10" s="24">
        <v>6</v>
      </c>
      <c r="B10" s="25">
        <v>42590</v>
      </c>
      <c r="C10" s="24" t="s">
        <v>14</v>
      </c>
      <c r="D10" s="24" t="s">
        <v>40</v>
      </c>
      <c r="E10" s="24" t="s">
        <v>41</v>
      </c>
      <c r="F10" s="24" t="s">
        <v>10</v>
      </c>
      <c r="G10" s="24">
        <v>10</v>
      </c>
      <c r="H10" s="26">
        <v>55990</v>
      </c>
    </row>
    <row r="11" spans="1:8" x14ac:dyDescent="0.25">
      <c r="A11" s="24">
        <v>7</v>
      </c>
      <c r="B11" s="25">
        <v>42590</v>
      </c>
      <c r="C11" s="24" t="s">
        <v>15</v>
      </c>
      <c r="D11" s="24" t="s">
        <v>46</v>
      </c>
      <c r="E11" s="24" t="s">
        <v>43</v>
      </c>
      <c r="F11" s="24" t="s">
        <v>10</v>
      </c>
      <c r="G11" s="24">
        <v>50</v>
      </c>
      <c r="H11" s="26">
        <v>54950</v>
      </c>
    </row>
    <row r="12" spans="1:8" x14ac:dyDescent="0.25">
      <c r="A12" s="24">
        <v>8</v>
      </c>
      <c r="B12" s="25">
        <v>42590</v>
      </c>
      <c r="C12" s="24" t="s">
        <v>18</v>
      </c>
      <c r="D12" s="24" t="s">
        <v>50</v>
      </c>
      <c r="E12" s="24" t="s">
        <v>34</v>
      </c>
      <c r="F12" s="24" t="s">
        <v>33</v>
      </c>
      <c r="G12" s="24">
        <v>200</v>
      </c>
      <c r="H12" s="26">
        <v>169998</v>
      </c>
    </row>
    <row r="13" spans="1:8" x14ac:dyDescent="0.25">
      <c r="A13" s="24">
        <v>9</v>
      </c>
      <c r="B13" s="25">
        <v>42590</v>
      </c>
      <c r="C13" s="24" t="s">
        <v>19</v>
      </c>
      <c r="D13" s="24" t="s">
        <v>49</v>
      </c>
      <c r="E13" s="24" t="s">
        <v>34</v>
      </c>
      <c r="F13" s="24" t="s">
        <v>33</v>
      </c>
      <c r="G13" s="24">
        <v>150</v>
      </c>
      <c r="H13" s="26">
        <v>104998.5</v>
      </c>
    </row>
    <row r="14" spans="1:8" x14ac:dyDescent="0.25">
      <c r="A14" s="24">
        <v>10</v>
      </c>
      <c r="B14" s="25">
        <v>42590</v>
      </c>
      <c r="C14" s="24" t="s">
        <v>20</v>
      </c>
      <c r="D14" s="24" t="s">
        <v>38</v>
      </c>
      <c r="E14" s="24" t="s">
        <v>34</v>
      </c>
      <c r="F14" s="24" t="s">
        <v>35</v>
      </c>
      <c r="G14" s="24">
        <v>70</v>
      </c>
      <c r="H14" s="26">
        <v>19593</v>
      </c>
    </row>
    <row r="15" spans="1:8" x14ac:dyDescent="0.25">
      <c r="A15" s="24">
        <v>11</v>
      </c>
      <c r="B15" s="25">
        <v>42590</v>
      </c>
      <c r="C15" s="24" t="s">
        <v>22</v>
      </c>
      <c r="D15" s="24" t="s">
        <v>42</v>
      </c>
      <c r="E15" s="24" t="s">
        <v>36</v>
      </c>
      <c r="F15" s="24" t="s">
        <v>36</v>
      </c>
      <c r="G15" s="24">
        <v>30</v>
      </c>
      <c r="H15" s="26">
        <v>35999.699999999997</v>
      </c>
    </row>
    <row r="16" spans="1:8" x14ac:dyDescent="0.25">
      <c r="A16" s="24">
        <v>12</v>
      </c>
      <c r="B16" s="25">
        <v>42590</v>
      </c>
      <c r="C16" s="24" t="s">
        <v>21</v>
      </c>
      <c r="D16" s="24" t="s">
        <v>39</v>
      </c>
      <c r="E16" s="24" t="s">
        <v>34</v>
      </c>
      <c r="F16" s="24" t="s">
        <v>35</v>
      </c>
      <c r="G16" s="24">
        <v>30</v>
      </c>
      <c r="H16" s="26">
        <v>11999.7</v>
      </c>
    </row>
    <row r="17" spans="1:8" x14ac:dyDescent="0.25">
      <c r="A17" s="24">
        <v>13</v>
      </c>
      <c r="B17" s="25">
        <v>42590</v>
      </c>
      <c r="C17" s="24" t="s">
        <v>17</v>
      </c>
      <c r="D17" s="24" t="s">
        <v>48</v>
      </c>
      <c r="E17" s="24" t="s">
        <v>51</v>
      </c>
      <c r="F17" s="24" t="s">
        <v>10</v>
      </c>
      <c r="G17" s="24">
        <v>10</v>
      </c>
      <c r="H17" s="26">
        <v>9999.9</v>
      </c>
    </row>
    <row r="18" spans="1:8" x14ac:dyDescent="0.25">
      <c r="A18" s="24">
        <v>14</v>
      </c>
      <c r="B18" s="25">
        <v>42590</v>
      </c>
      <c r="C18" s="24" t="s">
        <v>16</v>
      </c>
      <c r="D18" s="24" t="s">
        <v>45</v>
      </c>
      <c r="E18" s="24" t="s">
        <v>44</v>
      </c>
      <c r="F18" s="24" t="s">
        <v>10</v>
      </c>
      <c r="G18" s="24">
        <v>10</v>
      </c>
      <c r="H18" s="26">
        <v>1690</v>
      </c>
    </row>
    <row r="19" spans="1:8" x14ac:dyDescent="0.25">
      <c r="A19" s="3">
        <v>15</v>
      </c>
      <c r="B19" s="6">
        <v>42590</v>
      </c>
      <c r="C19" s="3" t="s">
        <v>14</v>
      </c>
      <c r="D19" s="3" t="s">
        <v>40</v>
      </c>
      <c r="E19" s="3" t="s">
        <v>41</v>
      </c>
      <c r="F19" s="3" t="s">
        <v>10</v>
      </c>
      <c r="G19" s="3">
        <v>10</v>
      </c>
      <c r="H19" s="15">
        <v>55990</v>
      </c>
    </row>
    <row r="20" spans="1:8" x14ac:dyDescent="0.25">
      <c r="A20" s="3">
        <v>16</v>
      </c>
      <c r="B20" s="6">
        <v>42591</v>
      </c>
      <c r="C20" s="3" t="s">
        <v>14</v>
      </c>
      <c r="D20" s="3" t="s">
        <v>40</v>
      </c>
      <c r="E20" s="3" t="s">
        <v>41</v>
      </c>
      <c r="F20" s="3" t="s">
        <v>10</v>
      </c>
      <c r="G20" s="3">
        <v>10</v>
      </c>
      <c r="H20" s="15">
        <v>55990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"/>
  <sheetViews>
    <sheetView showGridLines="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5" style="2" bestFit="1" customWidth="1"/>
    <col min="2" max="2" width="10.125" style="14" bestFit="1" customWidth="1"/>
    <col min="3" max="3" width="9.75" style="2" bestFit="1" customWidth="1"/>
    <col min="4" max="4" width="13" style="2" bestFit="1" customWidth="1"/>
    <col min="5" max="5" width="17.125" style="2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7" customFormat="1" ht="12" x14ac:dyDescent="0.25">
      <c r="A1" s="4" t="s">
        <v>0</v>
      </c>
      <c r="B1" s="1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25">
      <c r="A2" s="3">
        <v>1</v>
      </c>
      <c r="B2" s="6">
        <v>42588</v>
      </c>
      <c r="C2" s="3" t="s">
        <v>14</v>
      </c>
      <c r="D2" s="3" t="s">
        <v>23</v>
      </c>
      <c r="E2" s="3" t="s">
        <v>24</v>
      </c>
      <c r="F2" s="3" t="s">
        <v>10</v>
      </c>
      <c r="G2" s="3">
        <v>20</v>
      </c>
      <c r="H2" s="15">
        <v>8400</v>
      </c>
    </row>
    <row r="3" spans="1:8" x14ac:dyDescent="0.25">
      <c r="A3" s="3">
        <v>2</v>
      </c>
      <c r="B3" s="6">
        <v>42588</v>
      </c>
      <c r="C3" s="3" t="s">
        <v>13</v>
      </c>
      <c r="D3" s="3" t="s">
        <v>9</v>
      </c>
      <c r="E3" s="3" t="s">
        <v>8</v>
      </c>
      <c r="F3" s="3" t="s">
        <v>10</v>
      </c>
      <c r="G3" s="3">
        <v>20</v>
      </c>
      <c r="H3" s="15">
        <v>7000</v>
      </c>
    </row>
    <row r="4" spans="1:8" x14ac:dyDescent="0.25">
      <c r="A4" s="3">
        <v>16</v>
      </c>
      <c r="B4" s="6">
        <v>42590</v>
      </c>
      <c r="C4" s="3" t="s">
        <v>17</v>
      </c>
      <c r="D4" s="3" t="s">
        <v>48</v>
      </c>
      <c r="E4" s="3" t="s">
        <v>51</v>
      </c>
      <c r="F4" s="3" t="s">
        <v>10</v>
      </c>
      <c r="G4" s="3">
        <v>5</v>
      </c>
      <c r="H4" s="15">
        <v>4999.95</v>
      </c>
    </row>
    <row r="5" spans="1:8" x14ac:dyDescent="0.25">
      <c r="A5" s="3">
        <v>16</v>
      </c>
      <c r="B5" s="6">
        <v>42590</v>
      </c>
      <c r="C5" s="3" t="s">
        <v>16</v>
      </c>
      <c r="D5" s="3" t="s">
        <v>45</v>
      </c>
      <c r="E5" s="3" t="s">
        <v>44</v>
      </c>
      <c r="F5" s="3" t="s">
        <v>10</v>
      </c>
      <c r="G5" s="3">
        <v>5</v>
      </c>
      <c r="H5" s="15">
        <v>845</v>
      </c>
    </row>
    <row r="6" spans="1:8" x14ac:dyDescent="0.25">
      <c r="A6" s="3">
        <v>17</v>
      </c>
      <c r="B6" s="6">
        <v>42591</v>
      </c>
      <c r="C6" s="3" t="s">
        <v>18</v>
      </c>
      <c r="D6" s="3" t="s">
        <v>50</v>
      </c>
      <c r="E6" s="3" t="s">
        <v>34</v>
      </c>
      <c r="F6" s="3" t="s">
        <v>33</v>
      </c>
      <c r="G6" s="3">
        <v>20</v>
      </c>
      <c r="H6" s="15">
        <v>16999.8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showGridLines="0" workbookViewId="0">
      <pane ySplit="1" topLeftCell="A2" activePane="bottomLeft" state="frozen"/>
      <selection pane="bottomLeft" activeCell="B1" sqref="B1:I11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6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10" customFormat="1" ht="12" x14ac:dyDescent="0.2">
      <c r="A1" s="8" t="s">
        <v>0</v>
      </c>
      <c r="B1" s="8" t="s">
        <v>2</v>
      </c>
      <c r="C1" s="8" t="s">
        <v>3</v>
      </c>
      <c r="D1" s="8" t="s">
        <v>4</v>
      </c>
      <c r="E1" s="8" t="s">
        <v>5</v>
      </c>
      <c r="F1" s="34" t="s">
        <v>25</v>
      </c>
      <c r="G1" s="8" t="s">
        <v>11</v>
      </c>
      <c r="H1" s="9" t="s">
        <v>12</v>
      </c>
      <c r="I1" s="9" t="s">
        <v>7</v>
      </c>
    </row>
    <row r="2" spans="1:9" x14ac:dyDescent="0.25">
      <c r="A2" s="42">
        <v>1</v>
      </c>
      <c r="B2" s="42" t="s">
        <v>13</v>
      </c>
      <c r="C2" s="42" t="s">
        <v>47</v>
      </c>
      <c r="D2" s="42" t="s">
        <v>8</v>
      </c>
      <c r="E2" s="42" t="s">
        <v>10</v>
      </c>
      <c r="F2" s="43">
        <v>350</v>
      </c>
      <c r="G2" s="42">
        <v>20</v>
      </c>
      <c r="H2" s="44">
        <f>SUMIFS(StockInData[Quantity],StockInData[Product ID],ProductMaster[[#This Row],[Product ID]])-SUMIFS(StockOutData[Quantity],StockOutData[Product ID],ProductMaster[[#This Row],[Product ID]])</f>
        <v>65</v>
      </c>
      <c r="I2" s="45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44">
        <v>2</v>
      </c>
      <c r="B3" s="42" t="s">
        <v>14</v>
      </c>
      <c r="C3" s="44" t="s">
        <v>40</v>
      </c>
      <c r="D3" s="44" t="s">
        <v>41</v>
      </c>
      <c r="E3" s="42" t="s">
        <v>10</v>
      </c>
      <c r="F3" s="43">
        <v>5599</v>
      </c>
      <c r="G3" s="44">
        <v>15</v>
      </c>
      <c r="H3" s="44">
        <f>SUMIFS(StockInData[Quantity],StockInData[Product ID],ProductMaster[[#This Row],[Product ID]])-SUMIFS(StockOutData[Quantity],StockOutData[Product ID],ProductMaster[[#This Row],[Product ID]])</f>
        <v>40</v>
      </c>
      <c r="I3" s="45">
        <f>SUMIFS(StockInData[Value],StockInData[Product ID],ProductMaster[[#This Row],[Product ID]])-SUMIFS(StockOutData[Value],StockOutData[Product ID],ProductMaster[[#This Row],[Product ID]])</f>
        <v>223960</v>
      </c>
    </row>
    <row r="4" spans="1:9" x14ac:dyDescent="0.25">
      <c r="A4" s="44">
        <v>3</v>
      </c>
      <c r="B4" s="42" t="s">
        <v>15</v>
      </c>
      <c r="C4" s="44" t="s">
        <v>46</v>
      </c>
      <c r="D4" s="44" t="s">
        <v>43</v>
      </c>
      <c r="E4" s="42" t="s">
        <v>10</v>
      </c>
      <c r="F4" s="43">
        <v>1099</v>
      </c>
      <c r="G4" s="44">
        <v>10</v>
      </c>
      <c r="H4" s="44">
        <f>SUMIFS(StockInData[Quantity],StockInData[Product ID],ProductMaster[[#This Row],[Product ID]])-SUMIFS(StockOutData[Quantity],StockOutData[Product ID],ProductMaster[[#This Row],[Product ID]])</f>
        <v>50</v>
      </c>
      <c r="I4" s="45">
        <f>SUMIFS(StockInData[Value],StockInData[Product ID],ProductMaster[[#This Row],[Product ID]])-SUMIFS(StockOutData[Value],StockOutData[Product ID],ProductMaster[[#This Row],[Product ID]])</f>
        <v>54950</v>
      </c>
    </row>
    <row r="5" spans="1:9" x14ac:dyDescent="0.25">
      <c r="A5" s="44">
        <v>4</v>
      </c>
      <c r="B5" s="42" t="s">
        <v>16</v>
      </c>
      <c r="C5" s="44" t="s">
        <v>45</v>
      </c>
      <c r="D5" s="44" t="s">
        <v>44</v>
      </c>
      <c r="E5" s="42" t="s">
        <v>10</v>
      </c>
      <c r="F5" s="43">
        <v>169</v>
      </c>
      <c r="G5" s="44">
        <v>8</v>
      </c>
      <c r="H5" s="44">
        <f>SUMIFS(StockInData[Quantity],StockInData[Product ID],ProductMaster[[#This Row],[Product ID]])-SUMIFS(StockOutData[Quantity],StockOutData[Product ID],ProductMaster[[#This Row],[Product ID]])</f>
        <v>15</v>
      </c>
      <c r="I5" s="45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44">
        <v>5</v>
      </c>
      <c r="B6" s="42" t="s">
        <v>17</v>
      </c>
      <c r="C6" s="44" t="s">
        <v>48</v>
      </c>
      <c r="D6" s="44" t="s">
        <v>51</v>
      </c>
      <c r="E6" s="42" t="s">
        <v>10</v>
      </c>
      <c r="F6" s="43">
        <v>999.99</v>
      </c>
      <c r="G6" s="44">
        <v>5</v>
      </c>
      <c r="H6" s="44">
        <f>SUMIFS(StockInData[Quantity],StockInData[Product ID],ProductMaster[[#This Row],[Product ID]])-SUMIFS(StockOutData[Quantity],StockOutData[Product ID],ProductMaster[[#This Row],[Product ID]])</f>
        <v>5</v>
      </c>
      <c r="I6" s="45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44">
        <v>6</v>
      </c>
      <c r="B7" s="42" t="s">
        <v>18</v>
      </c>
      <c r="C7" s="44" t="s">
        <v>50</v>
      </c>
      <c r="D7" s="44" t="s">
        <v>34</v>
      </c>
      <c r="E7" s="44" t="s">
        <v>33</v>
      </c>
      <c r="F7" s="43">
        <v>849.99</v>
      </c>
      <c r="G7" s="44">
        <v>120</v>
      </c>
      <c r="H7" s="44">
        <f>SUMIFS(StockInData[Quantity],StockInData[Product ID],ProductMaster[[#This Row],[Product ID]])-SUMIFS(StockOutData[Quantity],StockOutData[Product ID],ProductMaster[[#This Row],[Product ID]])</f>
        <v>180</v>
      </c>
      <c r="I7" s="45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44">
        <v>7</v>
      </c>
      <c r="B8" s="42" t="s">
        <v>19</v>
      </c>
      <c r="C8" s="44" t="s">
        <v>49</v>
      </c>
      <c r="D8" s="44" t="s">
        <v>34</v>
      </c>
      <c r="E8" s="44" t="s">
        <v>33</v>
      </c>
      <c r="F8" s="43">
        <v>699.99</v>
      </c>
      <c r="G8" s="44">
        <v>80</v>
      </c>
      <c r="H8" s="44">
        <f>SUMIFS(StockInData[Quantity],StockInData[Product ID],ProductMaster[[#This Row],[Product ID]])-SUMIFS(StockOutData[Quantity],StockOutData[Product ID],ProductMaster[[#This Row],[Product ID]])</f>
        <v>150</v>
      </c>
      <c r="I8" s="45">
        <f>SUMIFS(StockInData[Value],StockInData[Product ID],ProductMaster[[#This Row],[Product ID]])-SUMIFS(StockOutData[Value],StockOutData[Product ID],ProductMaster[[#This Row],[Product ID]])</f>
        <v>104998.5</v>
      </c>
    </row>
    <row r="9" spans="1:9" x14ac:dyDescent="0.25">
      <c r="A9" s="44">
        <v>8</v>
      </c>
      <c r="B9" s="42" t="s">
        <v>20</v>
      </c>
      <c r="C9" s="44" t="s">
        <v>38</v>
      </c>
      <c r="D9" s="44" t="s">
        <v>34</v>
      </c>
      <c r="E9" s="44" t="s">
        <v>35</v>
      </c>
      <c r="F9" s="43">
        <v>279.89999999999998</v>
      </c>
      <c r="G9" s="44">
        <v>60</v>
      </c>
      <c r="H9" s="44">
        <f>SUMIFS(StockInData[Quantity],StockInData[Product ID],ProductMaster[[#This Row],[Product ID]])-SUMIFS(StockOutData[Quantity],StockOutData[Product ID],ProductMaster[[#This Row],[Product ID]])</f>
        <v>70</v>
      </c>
      <c r="I9" s="45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44">
        <v>9</v>
      </c>
      <c r="B10" s="42" t="s">
        <v>21</v>
      </c>
      <c r="C10" s="44" t="s">
        <v>39</v>
      </c>
      <c r="D10" s="44" t="s">
        <v>34</v>
      </c>
      <c r="E10" s="44" t="s">
        <v>35</v>
      </c>
      <c r="F10" s="43">
        <v>399.99</v>
      </c>
      <c r="G10" s="44">
        <v>15</v>
      </c>
      <c r="H10" s="44">
        <f>SUMIFS(StockInData[Quantity],StockInData[Product ID],ProductMaster[[#This Row],[Product ID]])-SUMIFS(StockOutData[Quantity],StockOutData[Product ID],ProductMaster[[#This Row],[Product ID]])</f>
        <v>30</v>
      </c>
      <c r="I10" s="45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44">
        <v>10</v>
      </c>
      <c r="B11" s="44" t="s">
        <v>22</v>
      </c>
      <c r="C11" s="44" t="s">
        <v>42</v>
      </c>
      <c r="D11" s="44" t="s">
        <v>36</v>
      </c>
      <c r="E11" s="44" t="s">
        <v>36</v>
      </c>
      <c r="F11" s="45">
        <v>1199.99</v>
      </c>
      <c r="G11" s="44">
        <v>30</v>
      </c>
      <c r="H11" s="44">
        <f>SUMIFS(StockInData[Quantity],StockInData[Product ID],ProductMaster[[#This Row],[Product ID]])-SUMIFS(StockOutData[Quantity],StockOutData[Product ID],ProductMaster[[#This Row],[Product ID]])</f>
        <v>30</v>
      </c>
      <c r="I11" s="45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B9" sqref="B9"/>
    </sheetView>
  </sheetViews>
  <sheetFormatPr defaultColWidth="0" defaultRowHeight="15" customHeight="1" zeroHeight="1" x14ac:dyDescent="0.25"/>
  <cols>
    <col min="1" max="1" width="28.5" bestFit="1" customWidth="1"/>
    <col min="2" max="2" width="31.5" style="12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5"/>
      <c r="B1" s="11"/>
      <c r="C1" s="5"/>
    </row>
    <row r="2" spans="1:3" x14ac:dyDescent="0.25">
      <c r="A2" s="5"/>
      <c r="B2" s="11"/>
      <c r="C2" s="5"/>
    </row>
    <row r="3" spans="1:3" x14ac:dyDescent="0.25">
      <c r="A3" s="5"/>
      <c r="B3" s="11"/>
      <c r="C3" s="5"/>
    </row>
    <row r="4" spans="1:3" x14ac:dyDescent="0.25">
      <c r="A4" s="28"/>
      <c r="B4" s="29"/>
      <c r="C4" s="28"/>
    </row>
    <row r="5" spans="1:3" ht="26.25" x14ac:dyDescent="0.4">
      <c r="A5" s="30" t="s">
        <v>0</v>
      </c>
      <c r="B5" s="32" t="str">
        <f>IF(B6="","",(MAX(ProductMaster[S No.])+1))</f>
        <v/>
      </c>
      <c r="C5" s="28"/>
    </row>
    <row r="6" spans="1:3" ht="26.25" x14ac:dyDescent="0.4">
      <c r="A6" s="30" t="s">
        <v>2</v>
      </c>
      <c r="B6" s="21"/>
      <c r="C6" s="28"/>
    </row>
    <row r="7" spans="1:3" ht="26.25" x14ac:dyDescent="0.4">
      <c r="A7" s="30" t="s">
        <v>3</v>
      </c>
      <c r="B7" s="22"/>
      <c r="C7" s="28"/>
    </row>
    <row r="8" spans="1:3" ht="26.25" x14ac:dyDescent="0.4">
      <c r="A8" s="30" t="s">
        <v>4</v>
      </c>
      <c r="B8" s="22"/>
      <c r="C8" s="28"/>
    </row>
    <row r="9" spans="1:3" ht="26.25" x14ac:dyDescent="0.4">
      <c r="A9" s="30" t="s">
        <v>5</v>
      </c>
      <c r="B9" s="22"/>
      <c r="C9" s="28"/>
    </row>
    <row r="10" spans="1:3" ht="26.25" x14ac:dyDescent="0.4">
      <c r="A10" s="30" t="s">
        <v>25</v>
      </c>
      <c r="B10" s="33"/>
      <c r="C10" s="28"/>
    </row>
    <row r="11" spans="1:3" ht="27" thickBot="1" x14ac:dyDescent="0.45">
      <c r="A11" s="31" t="s">
        <v>11</v>
      </c>
      <c r="B11" s="23"/>
      <c r="C11" s="28"/>
    </row>
    <row r="12" spans="1:3" ht="15.75" thickTop="1" x14ac:dyDescent="0.25">
      <c r="A12" s="28"/>
      <c r="B12" s="29"/>
      <c r="C12" s="28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ExcelChamps.com</cp:lastModifiedBy>
  <dcterms:created xsi:type="dcterms:W3CDTF">2016-08-05T04:56:17Z</dcterms:created>
  <dcterms:modified xsi:type="dcterms:W3CDTF">2016-09-17T08:01:21Z</dcterms:modified>
  <cp:contentStatus/>
</cp:coreProperties>
</file>