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629" codeName="{1563B04E-AB91-75FE-B8BC-B18F01832D57}"/>
  <workbookPr codeName="ThisWorkbook" hidePivotFieldList="1" autoCompressPictures="0"/>
  <bookViews>
    <workbookView xWindow="0" yWindow="0" windowWidth="25700" windowHeight="14160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40001" concurrentCalc="0"/>
  <pivotCaches>
    <pivotCache cacheId="27" r:id="rId9"/>
  </pivotCaches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7" l="1"/>
  <c r="H11" i="4"/>
  <c r="I11" i="4"/>
  <c r="H3" i="4"/>
  <c r="H4" i="4"/>
  <c r="H5" i="4"/>
  <c r="H6" i="4"/>
  <c r="H7" i="4"/>
  <c r="H8" i="4"/>
  <c r="H9" i="4"/>
  <c r="H10" i="4"/>
  <c r="H2" i="4"/>
  <c r="B10" i="7"/>
  <c r="B11" i="7"/>
  <c r="B12" i="7"/>
  <c r="B9" i="7"/>
  <c r="A15" i="7"/>
  <c r="A17" i="7"/>
  <c r="A16" i="7"/>
  <c r="B8" i="7"/>
  <c r="B13" i="7"/>
  <c r="B3" i="7"/>
  <c r="B4" i="7"/>
  <c r="B6" i="7"/>
  <c r="B5" i="7"/>
  <c r="B5" i="10"/>
  <c r="I2" i="4"/>
  <c r="I3" i="4"/>
  <c r="I4" i="4"/>
  <c r="I5" i="4"/>
  <c r="I6" i="4"/>
  <c r="I7" i="4"/>
  <c r="I8" i="4"/>
  <c r="I9" i="4"/>
  <c r="I10" i="4"/>
  <c r="B2" i="7"/>
  <c r="B1" i="7"/>
  <c r="B12" i="5"/>
  <c r="B10" i="5"/>
  <c r="B9" i="5"/>
  <c r="B7" i="5"/>
  <c r="B6" i="5"/>
  <c r="B5" i="5"/>
  <c r="B5" i="2"/>
  <c r="B6" i="2"/>
  <c r="B12" i="2"/>
  <c r="B10" i="2"/>
  <c r="B9" i="2"/>
  <c r="B7" i="2"/>
</calcChain>
</file>

<file path=xl/sharedStrings.xml><?xml version="1.0" encoding="utf-8"?>
<sst xmlns="http://schemas.openxmlformats.org/spreadsheetml/2006/main" count="206" uniqueCount="64">
  <si>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</si>
  <si>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</si>
  <si>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</si>
  <si>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</si>
  <si>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</si>
  <si>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</si>
  <si>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</si>
  <si>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</si>
  <si>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</si>
  <si>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</si>
  <si>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</si>
  <si>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</si>
  <si>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</si>
  <si>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</si>
  <si>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</si>
  <si>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</si>
  <si>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</si>
  <si>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</si>
  <si>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</si>
  <si>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</si>
  <si>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</si>
  <si>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</si>
  <si>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</si>
  <si>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</si>
  <si>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</si>
  <si>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</si>
  <si>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</si>
  <si>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</si>
  <si>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</si>
  <si>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</si>
  <si>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</si>
  <si>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</si>
  <si>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</si>
  <si>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</si>
  <si>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</si>
  <si>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</si>
  <si>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</si>
  <si>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</si>
  <si>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</si>
  <si>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</si>
  <si>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</si>
  <si>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</si>
  <si>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</si>
  <si>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</si>
  <si>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</si>
  <si>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</si>
  <si>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</si>
  <si>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</si>
  <si>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</si>
  <si>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</si>
  <si>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</si>
  <si>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</si>
  <si>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</si>
  <si>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</si>
  <si>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</si>
  <si>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</t>
  </si>
  <si>
    <t>N</t>
  </si>
  <si>
    <t>Data</t>
  </si>
  <si>
    <t>ID</t>
  </si>
  <si>
    <t>Nome</t>
  </si>
  <si>
    <t>Descrição</t>
  </si>
  <si>
    <t>Categoria</t>
  </si>
  <si>
    <t>Quantidade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</si>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</sst>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$&quot;* #,##0_);_(&quot;$&quot;* \(#,##0\);_(&quot;$&quot;* &quot;-&quot;_);_(@_)"/>
  </numFmts>
  <fonts count="12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20"/>
      <color theme="1"/>
      <name val="Calibr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20"/>
      <name val="Calibri Light"/>
      <family val="2"/>
    </font>
    <font>
      <sz val="11"/>
      <color theme="7" tint="0.39997558519241921"/>
      <name val="Calibri Light"/>
      <family val="2"/>
    </font>
    <font>
      <sz val="11"/>
      <name val="Calibri Light"/>
      <family val="2"/>
    </font>
    <font>
      <u/>
      <sz val="11"/>
      <color theme="10"/>
      <name val="Calibri Light"/>
      <family val="2"/>
    </font>
    <font>
      <u/>
      <sz val="11"/>
      <color theme="11"/>
      <name val="Calibr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theme="7" tint="-0.499984740745262"/>
      </left>
      <right/>
      <top style="medium">
        <color theme="7" tint="-0.499984740745262"/>
      </top>
      <bottom style="medium">
        <color theme="7" tint="-0.499984740745262"/>
      </bottom>
      <diagonal/>
    </border>
    <border>
      <left/>
      <right style="medium">
        <color theme="7" tint="-0.499984740745262"/>
      </right>
      <top style="medium">
        <color theme="7" tint="-0.499984740745262"/>
      </top>
      <bottom style="medium">
        <color theme="7" tint="-0.499984740745262"/>
      </bottom>
      <diagonal/>
    </border>
  </borders>
  <cellStyleXfs count="5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3" borderId="0" xfId="0" applyFill="1"/>
    <xf numFmtId="15" fontId="1" fillId="0" borderId="0" xfId="0" applyNumberFormat="1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5" fillId="0" borderId="0" xfId="0" applyFont="1"/>
    <xf numFmtId="0" fontId="0" fillId="3" borderId="0" xfId="0" applyFill="1" applyAlignment="1">
      <alignment horizontal="right"/>
    </xf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5" fontId="4" fillId="4" borderId="3" xfId="0" applyNumberFormat="1" applyFont="1" applyFill="1" applyBorder="1" applyAlignment="1" applyProtection="1">
      <alignment horizontal="right" vertical="center"/>
      <protection locked="0"/>
    </xf>
    <xf numFmtId="0" fontId="4" fillId="4" borderId="3" xfId="0" applyFont="1" applyFill="1" applyBorder="1" applyAlignment="1" applyProtection="1">
      <alignment horizontal="right"/>
      <protection locked="0"/>
    </xf>
    <xf numFmtId="0" fontId="4" fillId="4" borderId="1" xfId="0" applyFont="1" applyFill="1" applyBorder="1" applyAlignment="1" applyProtection="1">
      <alignment horizontal="right"/>
      <protection locked="0"/>
    </xf>
    <xf numFmtId="0" fontId="6" fillId="0" borderId="0" xfId="0" applyFont="1" applyAlignment="1">
      <alignment horizontal="center"/>
    </xf>
    <xf numFmtId="15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0" fontId="7" fillId="2" borderId="2" xfId="0" applyFont="1" applyFill="1" applyBorder="1"/>
    <xf numFmtId="0" fontId="7" fillId="2" borderId="4" xfId="0" applyFont="1" applyFill="1" applyBorder="1"/>
    <xf numFmtId="0" fontId="7" fillId="2" borderId="3" xfId="0" applyFont="1" applyFill="1" applyBorder="1" applyAlignment="1">
      <alignment horizontal="right" vertical="center"/>
    </xf>
    <xf numFmtId="164" fontId="4" fillId="4" borderId="3" xfId="0" applyNumberFormat="1" applyFont="1" applyFill="1" applyBorder="1" applyAlignment="1" applyProtection="1">
      <alignment horizontal="right" indent="3"/>
      <protection locked="0"/>
    </xf>
    <xf numFmtId="164" fontId="3" fillId="0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right"/>
    </xf>
    <xf numFmtId="0" fontId="4" fillId="2" borderId="2" xfId="0" applyFont="1" applyFill="1" applyBorder="1"/>
    <xf numFmtId="0" fontId="4" fillId="2" borderId="3" xfId="0" applyFont="1" applyFill="1" applyBorder="1" applyAlignment="1">
      <alignment horizontal="right" vertical="center"/>
    </xf>
    <xf numFmtId="15" fontId="4" fillId="2" borderId="3" xfId="0" applyNumberFormat="1" applyFont="1" applyFill="1" applyBorder="1" applyAlignment="1">
      <alignment horizontal="right" vertical="center"/>
    </xf>
    <xf numFmtId="0" fontId="4" fillId="2" borderId="3" xfId="0" applyFont="1" applyFill="1" applyBorder="1" applyAlignment="1">
      <alignment horizontal="right"/>
    </xf>
    <xf numFmtId="0" fontId="4" fillId="2" borderId="4" xfId="0" applyFont="1" applyFill="1" applyBorder="1"/>
    <xf numFmtId="164" fontId="4" fillId="2" borderId="1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0" fontId="4" fillId="5" borderId="3" xfId="0" applyFont="1" applyFill="1" applyBorder="1" applyAlignment="1" applyProtection="1">
      <alignment horizontal="right"/>
      <protection locked="0"/>
    </xf>
    <xf numFmtId="0" fontId="9" fillId="2" borderId="5" xfId="0" applyFont="1" applyFill="1" applyBorder="1" applyAlignment="1" applyProtection="1">
      <alignment horizontal="center" vertical="center"/>
      <protection locked="0"/>
    </xf>
    <xf numFmtId="0" fontId="9" fillId="2" borderId="6" xfId="0" applyFont="1" applyFill="1" applyBorder="1" applyAlignment="1" applyProtection="1">
      <alignment horizontal="center" vertical="center"/>
      <protection locked="0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164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164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165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164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165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pivotCacheDefinition" Target="pivotCache/pivotCacheDefinition1.xml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21543408360129"/>
          <c:y val="0.0855966856299703"/>
          <c:w val="0.954451345755694"/>
          <c:h val="0.855144070472358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Stock Value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70.0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60.0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2041136888"/>
        <c:axId val="-2080964888"/>
      </c:barChart>
      <c:catAx>
        <c:axId val="-2041136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2080964888"/>
        <c:crosses val="autoZero"/>
        <c:auto val="1"/>
        <c:lblAlgn val="ctr"/>
        <c:lblOffset val="100"/>
        <c:noMultiLvlLbl val="0"/>
      </c:catAx>
      <c:valAx>
        <c:axId val="-20809648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204113688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7"/>
          <c:y val="0.691357845472837"/>
          <c:w val="0.280244860696761"/>
          <c:h val="0.1111118599885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[excel-inverntory-management-template.xlsm]Help!PivotTable1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u="sng">
                <a:solidFill>
                  <a:schemeClr val="accent5">
                    <a:lumMod val="50000"/>
                  </a:schemeClr>
                </a:solidFill>
                <a:latin typeface="Georgia" panose="02040502050405020303" pitchFamily="18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554840315290259"/>
          <c:y val="0.016597510373444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60000"/>
              <a:lumOff val="40000"/>
            </a:schemeClr>
          </a:solidFill>
          <a:ln w="9525">
            <a:solidFill>
              <a:schemeClr val="accent5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175.0</c:v>
                </c:pt>
                <c:pt idx="1">
                  <c:v>330.0</c:v>
                </c:pt>
                <c:pt idx="2">
                  <c:v>100.0</c:v>
                </c:pt>
                <c:pt idx="3">
                  <c:v>30.0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11474168"/>
        <c:axId val="-2041071256"/>
      </c:barChart>
      <c:catAx>
        <c:axId val="-211147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2225" cap="flat" cmpd="sng" algn="ctr">
            <a:solidFill>
              <a:schemeClr val="accent5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1071256"/>
        <c:crosses val="autoZero"/>
        <c:auto val="1"/>
        <c:lblAlgn val="ctr"/>
        <c:lblOffset val="100"/>
        <c:noMultiLvlLbl val="0"/>
      </c:catAx>
      <c:valAx>
        <c:axId val="-20410712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211147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60000"/>
        <a:lumOff val="4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69332"/>
    <xdr:sp macro="" textlink="Help!A17">
      <xdr:nvSpPr>
        <xdr:cNvPr id="52" name="ReorderLevelMessage1"/>
        <xdr:cNvSpPr/>
      </xdr:nvSpPr>
      <xdr:spPr>
        <a:xfrm>
          <a:off x="6315075" y="3676650"/>
          <a:ext cx="6081056" cy="3693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  <a:ea typeface="+mn-ea"/>
              <a:cs typeface="+mn-cs"/>
            </a:rPr>
            <a:pPr marL="0" indent="0" algn="l"/>
            <a:t> </a:t>
          </a:fld>
          <a:endParaRPr lang="en-US" sz="32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39188</xdr:rowOff>
    </xdr:to>
    <xdr:sp macro="" textlink="">
      <xdr:nvSpPr>
        <xdr:cNvPr id="53" name="CurrentStockVsReOrderLevel"/>
        <xdr:cNvSpPr/>
      </xdr:nvSpPr>
      <xdr:spPr>
        <a:xfrm>
          <a:off x="8458199" y="2028825"/>
          <a:ext cx="4029075" cy="29636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0" u="sng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167344</xdr:colOff>
      <xdr:row>20</xdr:row>
      <xdr:rowOff>121735</xdr:rowOff>
    </xdr:from>
    <xdr:ext cx="6081056" cy="369332"/>
    <xdr:sp macro="" textlink="Help!A15">
      <xdr:nvSpPr>
        <xdr:cNvPr id="37" name="ReorderLevelMessage2"/>
        <xdr:cNvSpPr/>
      </xdr:nvSpPr>
      <xdr:spPr>
        <a:xfrm>
          <a:off x="6339544" y="3703135"/>
          <a:ext cx="6081056" cy="3693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8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  <a:ea typeface="+mn-ea"/>
              <a:cs typeface="+mn-cs"/>
            </a:rPr>
            <a:pPr marL="0" indent="0" algn="l"/>
            <a:t>Relax! Stock Is Above Re-Order Level.</a:t>
          </a:fld>
          <a:endParaRPr lang="en-US" sz="18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69332"/>
    <xdr:sp macro="" textlink="Help!A16">
      <xdr:nvSpPr>
        <xdr:cNvPr id="51" name="ReorderLevelMessage3"/>
        <xdr:cNvSpPr/>
      </xdr:nvSpPr>
      <xdr:spPr>
        <a:xfrm>
          <a:off x="6368119" y="3703135"/>
          <a:ext cx="6081056" cy="3693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  <a:ea typeface="+mn-ea"/>
              <a:cs typeface="+mn-cs"/>
            </a:rPr>
            <a:pPr marL="0" indent="0" algn="l"/>
            <a:t> </a:t>
          </a:fld>
          <a:endParaRPr lang="en-US" sz="32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369332"/>
    <xdr:sp macro="" textlink="Help!B12">
      <xdr:nvSpPr>
        <xdr:cNvPr id="49" name="ProductCurrentStock"/>
        <xdr:cNvSpPr/>
      </xdr:nvSpPr>
      <xdr:spPr>
        <a:xfrm>
          <a:off x="6324600" y="2740025"/>
          <a:ext cx="6115049" cy="3693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pPr algn="l"/>
            <a:t>Current Stock is 70 Unit(s). And, Stock Value is $280</a:t>
          </a:fld>
          <a:endParaRPr lang="en-US" sz="239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584776"/>
    <xdr:sp macro="" textlink="Help!B13">
      <xdr:nvSpPr>
        <xdr:cNvPr id="50" name="ProductName"/>
        <xdr:cNvSpPr/>
      </xdr:nvSpPr>
      <xdr:spPr>
        <a:xfrm>
          <a:off x="6284448" y="2301875"/>
          <a:ext cx="6107577" cy="58477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32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  <a:ea typeface="+mn-ea"/>
              <a:cs typeface="+mn-cs"/>
            </a:rPr>
            <a:pPr marL="0" indent="0" algn="l"/>
            <a:t>Galaxy Tab A's</a:t>
          </a:fld>
          <a:endParaRPr lang="en-US" sz="32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oneCellAnchor>
  <xdr:twoCellAnchor>
    <xdr:from>
      <xdr:col>9</xdr:col>
      <xdr:colOff>57150</xdr:colOff>
      <xdr:row>13</xdr:row>
      <xdr:rowOff>147637</xdr:rowOff>
    </xdr:from>
    <xdr:to>
      <xdr:col>18</xdr:col>
      <xdr:colOff>19050</xdr:colOff>
      <xdr:row>23</xdr:row>
      <xdr:rowOff>171450</xdr:rowOff>
    </xdr:to>
    <xdr:graphicFrame macro="">
      <xdr:nvGraphicFramePr>
        <xdr:cNvPr id="48" name="Product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515206"/>
    <xdr:sp macro="" textlink="">
      <xdr:nvSpPr>
        <xdr:cNvPr id="35" name="StockValueLabel"/>
        <xdr:cNvSpPr/>
      </xdr:nvSpPr>
      <xdr:spPr>
        <a:xfrm>
          <a:off x="9413050" y="628650"/>
          <a:ext cx="2988500" cy="51520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523220"/>
    <xdr:sp macro="" textlink="">
      <xdr:nvSpPr>
        <xdr:cNvPr id="32" name="StockValueLabel"/>
        <xdr:cNvSpPr/>
      </xdr:nvSpPr>
      <xdr:spPr>
        <a:xfrm>
          <a:off x="3190875" y="619125"/>
          <a:ext cx="2988500" cy="523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</a:rPr>
            <a:t>Valor Total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/>
        <xdr:cNvSpPr/>
      </xdr:nvSpPr>
      <xdr:spPr>
        <a:xfrm>
          <a:off x="6276975" y="1971675"/>
          <a:ext cx="6124575" cy="2362200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84776"/>
    <xdr:sp macro="" textlink="Help!B2">
      <xdr:nvSpPr>
        <xdr:cNvPr id="33" name="CurrentStock"/>
        <xdr:cNvSpPr/>
      </xdr:nvSpPr>
      <xdr:spPr>
        <a:xfrm>
          <a:off x="3181351" y="1066800"/>
          <a:ext cx="2990850" cy="58477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32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  <a:ea typeface="+mn-ea"/>
              <a:cs typeface="+mn-cs"/>
            </a:rPr>
            <a:pPr marL="0" indent="0" algn="ctr"/>
            <a:t> $634.784 </a:t>
          </a:fld>
          <a:endParaRPr lang="en-US" sz="32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Lucida Fax" panose="02060602050505020204" pitchFamily="18" charset="0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/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523220"/>
    <xdr:sp macro="" textlink="">
      <xdr:nvSpPr>
        <xdr:cNvPr id="20" name="CurrentStockLabel"/>
        <xdr:cNvSpPr/>
      </xdr:nvSpPr>
      <xdr:spPr>
        <a:xfrm>
          <a:off x="59501" y="597985"/>
          <a:ext cx="2988500" cy="523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</a:rPr>
            <a:t>Total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84776"/>
    <xdr:sp macro="" textlink="Help!B5">
      <xdr:nvSpPr>
        <xdr:cNvPr id="38" name="CurrentStock"/>
        <xdr:cNvSpPr/>
      </xdr:nvSpPr>
      <xdr:spPr>
        <a:xfrm>
          <a:off x="6286500" y="1076325"/>
          <a:ext cx="2990850" cy="58477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32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  <a:ea typeface="+mn-ea"/>
              <a:cs typeface="+mn-cs"/>
            </a:rPr>
            <a:pPr marL="0" indent="0" algn="ctr"/>
            <a:t>0 Unit(s)</a:t>
          </a:fld>
          <a:endParaRPr lang="en-US" sz="32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Lucida Fax" panose="02060602050505020204" pitchFamily="18" charset="0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84776"/>
    <xdr:sp macro="" textlink="Help!B6">
      <xdr:nvSpPr>
        <xdr:cNvPr id="39" name="CurrentStock"/>
        <xdr:cNvSpPr/>
      </xdr:nvSpPr>
      <xdr:spPr>
        <a:xfrm>
          <a:off x="9429750" y="1066800"/>
          <a:ext cx="2990850" cy="58477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32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  <a:ea typeface="+mn-ea"/>
              <a:cs typeface="+mn-cs"/>
            </a:rPr>
            <a:pPr marL="0" indent="0" algn="ctr"/>
            <a:t>0 Unit(s)</a:t>
          </a:fld>
          <a:endParaRPr lang="en-US" sz="32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Lucida Fax" panose="02060602050505020204" pitchFamily="18" charset="0"/>
            <a:ea typeface="+mn-ea"/>
            <a:cs typeface="+mn-cs"/>
          </a:endParaRPr>
        </a:p>
      </xdr:txBody>
    </xdr:sp>
    <xdr:clientData/>
  </xdr:oneCellAnchor>
  <xdr:oneCellAnchor>
    <xdr:from>
      <xdr:col>12</xdr:col>
      <xdr:colOff>62567</xdr:colOff>
      <xdr:row>8</xdr:row>
      <xdr:rowOff>150310</xdr:rowOff>
    </xdr:from>
    <xdr:ext cx="1046440" cy="208519"/>
    <xdr:sp macro="" textlink="">
      <xdr:nvSpPr>
        <xdr:cNvPr id="40" name="CurrentMonthTag"/>
        <xdr:cNvSpPr/>
      </xdr:nvSpPr>
      <xdr:spPr>
        <a:xfrm>
          <a:off x="8292167" y="1674310"/>
          <a:ext cx="1046440" cy="20851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urier New" panose="02070309020205020404" pitchFamily="49" charset="0"/>
              <a:cs typeface="Courier New" panose="02070309020205020404" pitchFamily="49" charset="0"/>
            </a:rPr>
            <a:t>*Current Month</a:t>
          </a:r>
        </a:p>
      </xdr:txBody>
    </xdr:sp>
    <xdr:clientData/>
  </xdr:oneCellAnchor>
  <xdr:oneCellAnchor>
    <xdr:from>
      <xdr:col>16</xdr:col>
      <xdr:colOff>447675</xdr:colOff>
      <xdr:row>8</xdr:row>
      <xdr:rowOff>161925</xdr:rowOff>
    </xdr:from>
    <xdr:ext cx="1046440" cy="208519"/>
    <xdr:sp macro="" textlink="">
      <xdr:nvSpPr>
        <xdr:cNvPr id="41" name="CurrentMonthTag"/>
        <xdr:cNvSpPr/>
      </xdr:nvSpPr>
      <xdr:spPr>
        <a:xfrm>
          <a:off x="11420475" y="1685925"/>
          <a:ext cx="1046440" cy="20851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urier New" panose="02070309020205020404" pitchFamily="49" charset="0"/>
              <a:cs typeface="Courier New" panose="02070309020205020404" pitchFamily="49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84776"/>
    <xdr:sp macro="" textlink="Help!B1">
      <xdr:nvSpPr>
        <xdr:cNvPr id="31" name="CurrentStock"/>
        <xdr:cNvSpPr/>
      </xdr:nvSpPr>
      <xdr:spPr>
        <a:xfrm>
          <a:off x="57150" y="1060450"/>
          <a:ext cx="3000375" cy="58477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30821F3-0FB7-DE4E-B951-9789D8A9F619}" type="TxLink">
            <a:rPr lang="en-US" sz="32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</a:rPr>
            <a:pPr algn="ctr"/>
            <a:t>635 Unit(s)</a:t>
          </a:fld>
          <a:endParaRPr lang="en-US" sz="32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Lucida Fax" panose="02060602050505020204" pitchFamily="18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515206"/>
    <xdr:sp macro="" textlink="">
      <xdr:nvSpPr>
        <xdr:cNvPr id="34" name="StockValueLabel"/>
        <xdr:cNvSpPr/>
      </xdr:nvSpPr>
      <xdr:spPr>
        <a:xfrm>
          <a:off x="6286500" y="638175"/>
          <a:ext cx="2988500" cy="515206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</a:rPr>
            <a:t>Stock In</a:t>
          </a:r>
          <a:r>
            <a:rPr lang="en-US" sz="18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j-lt"/>
            </a:rPr>
            <a:t>*</a:t>
          </a:r>
          <a:endParaRPr lang="en-US" sz="105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j-lt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/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/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/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/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/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4761625" cy="542925"/>
    <xdr:sp macro="" textlink="">
      <xdr:nvSpPr>
        <xdr:cNvPr id="8" name="HeadingText"/>
        <xdr:cNvSpPr/>
      </xdr:nvSpPr>
      <xdr:spPr>
        <a:xfrm>
          <a:off x="667193" y="0"/>
          <a:ext cx="4761625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Controle</a:t>
          </a:r>
          <a:r>
            <a:rPr lang="en-US" sz="36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de Estoque</a:t>
          </a:r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/>
        <xdr:cNvSpPr/>
      </xdr:nvSpPr>
      <xdr:spPr>
        <a:xfrm>
          <a:off x="0" y="0"/>
          <a:ext cx="2714625" cy="45910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8575">
          <a:solidFill>
            <a:schemeClr val="accent4">
              <a:lumMod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/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8575">
          <a:solidFill>
            <a:schemeClr val="accent4">
              <a:lumMod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280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Instruções</a:t>
          </a:r>
        </a:p>
        <a:p>
          <a:pPr marL="0" indent="0" algn="ctr"/>
          <a:endParaRPr lang="en-US" sz="280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80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80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80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Once you fill user</a:t>
          </a:r>
          <a:r>
            <a:rPr lang="en-US" sz="1800" baseline="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800" baseline="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800" baseline="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800" baseline="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800" baseline="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800" baseline="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800" baseline="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Do not delete or add any cell from user form.</a:t>
          </a:r>
        </a:p>
      </xdr:txBody>
    </xdr:sp>
    <xdr:clientData/>
  </xdr:twoCellAnchor>
  <xdr:twoCellAnchor editAs="oneCell">
    <xdr:from>
      <xdr:col>0</xdr:col>
      <xdr:colOff>66676</xdr:colOff>
      <xdr:row>0</xdr:row>
      <xdr:rowOff>28576</xdr:rowOff>
    </xdr:from>
    <xdr:to>
      <xdr:col>0</xdr:col>
      <xdr:colOff>447676</xdr:colOff>
      <xdr:row>2</xdr:row>
      <xdr:rowOff>28576</xdr:rowOff>
    </xdr:to>
    <xdr:pic macro="[0]!CloseMenu">
      <xdr:nvPicPr>
        <xdr:cNvPr id="21" name="Back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2857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 hidden="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/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cs typeface="Segoe UI Semilight" panose="020B0402040204020203" pitchFamily="34" charset="0"/>
            </a:rPr>
            <a:t>Menu</a:t>
          </a:r>
        </a:p>
      </xdr:txBody>
    </xdr:sp>
    <xdr:clientData/>
  </xdr:twoCellAnchor>
  <xdr:oneCellAnchor>
    <xdr:from>
      <xdr:col>0</xdr:col>
      <xdr:colOff>25979</xdr:colOff>
      <xdr:row>19</xdr:row>
      <xdr:rowOff>174123</xdr:rowOff>
    </xdr:from>
    <xdr:ext cx="2669596" cy="311496"/>
    <xdr:sp macro="" textlink="">
      <xdr:nvSpPr>
        <xdr:cNvPr id="15" name="PoweredBy"/>
        <xdr:cNvSpPr/>
      </xdr:nvSpPr>
      <xdr:spPr>
        <a:xfrm>
          <a:off x="25979" y="3793623"/>
          <a:ext cx="2669596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en-US" sz="1400" b="0" cap="none" spc="0">
            <a:ln w="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/>
            <a:latin typeface="Poiret One" panose="02000000000000000000" pitchFamily="2" charset="0"/>
            <a:cs typeface="Courier New" panose="02070309020205020404" pitchFamily="49" charset="0"/>
          </a:endParaRPr>
        </a:p>
      </xdr:txBody>
    </xdr:sp>
    <xdr:clientData/>
  </xdr:oneCellAnchor>
  <xdr:twoCellAnchor>
    <xdr:from>
      <xdr:col>0</xdr:col>
      <xdr:colOff>57150</xdr:colOff>
      <xdr:row>6</xdr:row>
      <xdr:rowOff>19050</xdr:rowOff>
    </xdr:from>
    <xdr:to>
      <xdr:col>1</xdr:col>
      <xdr:colOff>642366</xdr:colOff>
      <xdr:row>9</xdr:row>
      <xdr:rowOff>0</xdr:rowOff>
    </xdr:to>
    <xdr:sp macro="[0]!EnterStockInSheet" textlink="">
      <xdr:nvSpPr>
        <xdr:cNvPr id="10" name="EnterStockIn"/>
        <xdr:cNvSpPr/>
      </xdr:nvSpPr>
      <xdr:spPr>
        <a:xfrm>
          <a:off x="57150" y="1162050"/>
          <a:ext cx="1271016" cy="552450"/>
        </a:xfrm>
        <a:prstGeom prst="roundRect">
          <a:avLst>
            <a:gd name="adj" fmla="val 6140"/>
          </a:avLst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accent4">
                  <a:lumMod val="50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Stock In</a:t>
          </a:r>
        </a:p>
      </xdr:txBody>
    </xdr:sp>
    <xdr:clientData/>
  </xdr:twoCellAnchor>
  <xdr:twoCellAnchor>
    <xdr:from>
      <xdr:col>2</xdr:col>
      <xdr:colOff>9526</xdr:colOff>
      <xdr:row>6</xdr:row>
      <xdr:rowOff>19048</xdr:rowOff>
    </xdr:from>
    <xdr:to>
      <xdr:col>3</xdr:col>
      <xdr:colOff>594742</xdr:colOff>
      <xdr:row>8</xdr:row>
      <xdr:rowOff>186688</xdr:rowOff>
    </xdr:to>
    <xdr:sp macro="[0]!EnterStockOutSheet" textlink="">
      <xdr:nvSpPr>
        <xdr:cNvPr id="11" name="EnterStockOut"/>
        <xdr:cNvSpPr/>
      </xdr:nvSpPr>
      <xdr:spPr>
        <a:xfrm>
          <a:off x="1381126" y="1162048"/>
          <a:ext cx="1271016" cy="548640"/>
        </a:xfrm>
        <a:prstGeom prst="roundRect">
          <a:avLst>
            <a:gd name="adj" fmla="val 6140"/>
          </a:avLst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accent4">
                  <a:lumMod val="50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8</xdr:row>
      <xdr:rowOff>171450</xdr:rowOff>
    </xdr:from>
    <xdr:to>
      <xdr:col>3</xdr:col>
      <xdr:colOff>523876</xdr:colOff>
      <xdr:row>10</xdr:row>
      <xdr:rowOff>161925</xdr:rowOff>
    </xdr:to>
    <xdr:sp macro="" textlink="">
      <xdr:nvSpPr>
        <xdr:cNvPr id="12" name="ReportHeading"/>
        <xdr:cNvSpPr/>
      </xdr:nvSpPr>
      <xdr:spPr>
        <a:xfrm>
          <a:off x="0" y="169545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600" b="1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Segoe UI Semilight" panose="020B0402040204020203" pitchFamily="34" charset="0"/>
            </a:rPr>
            <a:t>Data Sheets</a:t>
          </a:r>
        </a:p>
      </xdr:txBody>
    </xdr:sp>
    <xdr:clientData/>
  </xdr:twoCellAnchor>
  <xdr:twoCellAnchor>
    <xdr:from>
      <xdr:col>0</xdr:col>
      <xdr:colOff>66674</xdr:colOff>
      <xdr:row>10</xdr:row>
      <xdr:rowOff>133350</xdr:rowOff>
    </xdr:from>
    <xdr:to>
      <xdr:col>1</xdr:col>
      <xdr:colOff>647699</xdr:colOff>
      <xdr:row>13</xdr:row>
      <xdr:rowOff>142875</xdr:rowOff>
    </xdr:to>
    <xdr:sp macro="[0]!StockInSheet" textlink="">
      <xdr:nvSpPr>
        <xdr:cNvPr id="13" name="StockInSheet"/>
        <xdr:cNvSpPr/>
      </xdr:nvSpPr>
      <xdr:spPr>
        <a:xfrm>
          <a:off x="66674" y="2038350"/>
          <a:ext cx="1266825" cy="581025"/>
        </a:xfrm>
        <a:prstGeom prst="roundRect">
          <a:avLst>
            <a:gd name="adj" fmla="val 6140"/>
          </a:avLst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accent4">
                  <a:lumMod val="50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10</xdr:row>
      <xdr:rowOff>133350</xdr:rowOff>
    </xdr:from>
    <xdr:to>
      <xdr:col>3</xdr:col>
      <xdr:colOff>604266</xdr:colOff>
      <xdr:row>13</xdr:row>
      <xdr:rowOff>133350</xdr:rowOff>
    </xdr:to>
    <xdr:sp macro="[0]!StockOutSheet" textlink="">
      <xdr:nvSpPr>
        <xdr:cNvPr id="14" name="StockOutSheet"/>
        <xdr:cNvSpPr/>
      </xdr:nvSpPr>
      <xdr:spPr>
        <a:xfrm>
          <a:off x="1390650" y="2038350"/>
          <a:ext cx="1271016" cy="571500"/>
        </a:xfrm>
        <a:prstGeom prst="roundRect">
          <a:avLst>
            <a:gd name="adj" fmla="val 6140"/>
          </a:avLst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accent4">
                  <a:lumMod val="50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3</xdr:row>
      <xdr:rowOff>161924</xdr:rowOff>
    </xdr:from>
    <xdr:to>
      <xdr:col>3</xdr:col>
      <xdr:colOff>609599</xdr:colOff>
      <xdr:row>5</xdr:row>
      <xdr:rowOff>152400</xdr:rowOff>
    </xdr:to>
    <xdr:sp macro="[0]!EnterNewProductSheet" textlink="">
      <xdr:nvSpPr>
        <xdr:cNvPr id="7" name="NewProduct"/>
        <xdr:cNvSpPr/>
      </xdr:nvSpPr>
      <xdr:spPr>
        <a:xfrm>
          <a:off x="57148" y="733424"/>
          <a:ext cx="2609851" cy="371476"/>
        </a:xfrm>
        <a:prstGeom prst="roundRect">
          <a:avLst>
            <a:gd name="adj" fmla="val 6140"/>
          </a:avLst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accent4">
                  <a:lumMod val="50000"/>
                </a:schemeClr>
              </a:solidFill>
              <a:latin typeface="Georgia" panose="02040502050405020303" pitchFamily="18" charset="0"/>
            </a:rPr>
            <a:t>New Product</a:t>
          </a:r>
        </a:p>
      </xdr:txBody>
    </xdr:sp>
    <xdr:clientData/>
  </xdr:twoCellAnchor>
  <xdr:twoCellAnchor>
    <xdr:from>
      <xdr:col>0</xdr:col>
      <xdr:colOff>57150</xdr:colOff>
      <xdr:row>16</xdr:row>
      <xdr:rowOff>171450</xdr:rowOff>
    </xdr:from>
    <xdr:to>
      <xdr:col>3</xdr:col>
      <xdr:colOff>600075</xdr:colOff>
      <xdr:row>18</xdr:row>
      <xdr:rowOff>152400</xdr:rowOff>
    </xdr:to>
    <xdr:sp macro="[0]!StockReport" textlink="">
      <xdr:nvSpPr>
        <xdr:cNvPr id="43" name="StockReport"/>
        <xdr:cNvSpPr/>
      </xdr:nvSpPr>
      <xdr:spPr>
        <a:xfrm>
          <a:off x="57150" y="3219450"/>
          <a:ext cx="2600325" cy="361950"/>
        </a:xfrm>
        <a:prstGeom prst="roundRect">
          <a:avLst>
            <a:gd name="adj" fmla="val 50000"/>
          </a:avLst>
        </a:prstGeom>
        <a:solidFill>
          <a:schemeClr val="accent4"/>
        </a:solidFill>
        <a:ln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accent5">
                  <a:lumMod val="50000"/>
                </a:schemeClr>
              </a:solidFill>
              <a:latin typeface="Georgia" panose="02040502050405020303" pitchFamily="18" charset="0"/>
            </a:rPr>
            <a:t>Stock Report</a:t>
          </a:r>
        </a:p>
      </xdr:txBody>
    </xdr:sp>
    <xdr:clientData/>
  </xdr:twoCellAnchor>
  <xdr:twoCellAnchor>
    <xdr:from>
      <xdr:col>0</xdr:col>
      <xdr:colOff>0</xdr:colOff>
      <xdr:row>1</xdr:row>
      <xdr:rowOff>180975</xdr:rowOff>
    </xdr:from>
    <xdr:to>
      <xdr:col>3</xdr:col>
      <xdr:colOff>523876</xdr:colOff>
      <xdr:row>3</xdr:row>
      <xdr:rowOff>171450</xdr:rowOff>
    </xdr:to>
    <xdr:sp macro="" textlink="">
      <xdr:nvSpPr>
        <xdr:cNvPr id="30" name="UserformHeading"/>
        <xdr:cNvSpPr/>
      </xdr:nvSpPr>
      <xdr:spPr>
        <a:xfrm>
          <a:off x="0" y="371475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cs typeface="Segoe UI Semilight" panose="020B0402040204020203" pitchFamily="34" charset="0"/>
            </a:rPr>
            <a:t>Userforms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/>
        <xdr:cNvSpPr/>
      </xdr:nvSpPr>
      <xdr:spPr>
        <a:xfrm>
          <a:off x="0" y="0"/>
          <a:ext cx="6581775" cy="561974"/>
        </a:xfrm>
        <a:prstGeom prst="rect">
          <a:avLst/>
        </a:prstGeom>
        <a:solidFill>
          <a:schemeClr val="tx2"/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4000">
              <a:ln>
                <a:solidFill>
                  <a:schemeClr val="tx2"/>
                </a:solidFill>
              </a:ln>
              <a:latin typeface="Georgia" panose="02040502050405020303" pitchFamily="18" charset="0"/>
              <a:cs typeface="Segoe UI Semilight" panose="020B0402040204020203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57150</xdr:colOff>
      <xdr:row>0</xdr:row>
      <xdr:rowOff>66675</xdr:rowOff>
    </xdr:from>
    <xdr:to>
      <xdr:col>2</xdr:col>
      <xdr:colOff>1943100</xdr:colOff>
      <xdr:row>2</xdr:row>
      <xdr:rowOff>104775</xdr:rowOff>
    </xdr:to>
    <xdr:sp macro="[0]!ShowDashboard" textlink="">
      <xdr:nvSpPr>
        <xdr:cNvPr id="4" name="Rounded Rectangle 3"/>
        <xdr:cNvSpPr/>
      </xdr:nvSpPr>
      <xdr:spPr>
        <a:xfrm>
          <a:off x="4629150" y="66675"/>
          <a:ext cx="1885950" cy="41910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Georgia" panose="02040502050405020303" pitchFamily="18" charset="0"/>
            </a:rPr>
            <a:t>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5</xdr:row>
      <xdr:rowOff>76201</xdr:rowOff>
    </xdr:to>
    <xdr:sp macro="[0]!EnterStockIn" textlink="">
      <xdr:nvSpPr>
        <xdr:cNvPr id="5" name="Rounded Rectangle 4"/>
        <xdr:cNvSpPr/>
      </xdr:nvSpPr>
      <xdr:spPr>
        <a:xfrm>
          <a:off x="4638675" y="790576"/>
          <a:ext cx="1905000" cy="381000"/>
        </a:xfrm>
        <a:prstGeom prst="roundRect">
          <a:avLst>
            <a:gd name="adj" fmla="val 1141"/>
          </a:avLst>
        </a:prstGeom>
        <a:solidFill>
          <a:schemeClr val="accent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Georgia" panose="02040502050405020303" pitchFamily="18" charset="0"/>
            </a:rPr>
            <a:t>Enter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/>
        <xdr:cNvSpPr/>
      </xdr:nvSpPr>
      <xdr:spPr>
        <a:xfrm>
          <a:off x="0" y="0"/>
          <a:ext cx="6581775" cy="561974"/>
        </a:xfrm>
        <a:prstGeom prst="rect">
          <a:avLst/>
        </a:prstGeom>
        <a:solidFill>
          <a:schemeClr val="tx2"/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4000">
              <a:ln>
                <a:solidFill>
                  <a:schemeClr val="tx2"/>
                </a:solidFill>
              </a:ln>
              <a:latin typeface="Georgia" panose="02040502050405020303" pitchFamily="18" charset="0"/>
              <a:cs typeface="Segoe UI Semilight" panose="020B0402040204020203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57150</xdr:colOff>
      <xdr:row>0</xdr:row>
      <xdr:rowOff>66675</xdr:rowOff>
    </xdr:from>
    <xdr:to>
      <xdr:col>2</xdr:col>
      <xdr:colOff>1943100</xdr:colOff>
      <xdr:row>2</xdr:row>
      <xdr:rowOff>104775</xdr:rowOff>
    </xdr:to>
    <xdr:sp macro="[0]!ShowDashboard" textlink="">
      <xdr:nvSpPr>
        <xdr:cNvPr id="3" name="Rounded Rectangle 2"/>
        <xdr:cNvSpPr/>
      </xdr:nvSpPr>
      <xdr:spPr>
        <a:xfrm>
          <a:off x="4629150" y="66675"/>
          <a:ext cx="1885950" cy="41910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Georgia" panose="02040502050405020303" pitchFamily="18" charset="0"/>
            </a:rPr>
            <a:t>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5</xdr:row>
      <xdr:rowOff>76201</xdr:rowOff>
    </xdr:to>
    <xdr:sp macro="[0]!EnterStockOut" textlink="">
      <xdr:nvSpPr>
        <xdr:cNvPr id="4" name="Rounded Rectangle 3"/>
        <xdr:cNvSpPr/>
      </xdr:nvSpPr>
      <xdr:spPr>
        <a:xfrm>
          <a:off x="4638675" y="790576"/>
          <a:ext cx="1905000" cy="381000"/>
        </a:xfrm>
        <a:prstGeom prst="roundRect">
          <a:avLst>
            <a:gd name="adj" fmla="val 1141"/>
          </a:avLst>
        </a:prstGeom>
        <a:solidFill>
          <a:schemeClr val="accent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Georgia" panose="02040502050405020303" pitchFamily="18" charset="0"/>
            </a:rPr>
            <a:t>Enter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/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/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/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/>
        <xdr:cNvSpPr/>
      </xdr:nvSpPr>
      <xdr:spPr>
        <a:xfrm>
          <a:off x="0" y="0"/>
          <a:ext cx="6581775" cy="561974"/>
        </a:xfrm>
        <a:prstGeom prst="rect">
          <a:avLst/>
        </a:prstGeom>
        <a:solidFill>
          <a:schemeClr val="tx2"/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4000">
              <a:ln>
                <a:solidFill>
                  <a:schemeClr val="tx2"/>
                </a:solidFill>
              </a:ln>
              <a:latin typeface="Georgia" panose="02040502050405020303" pitchFamily="18" charset="0"/>
              <a:cs typeface="Segoe UI Semilight" panose="020B0402040204020203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57150</xdr:colOff>
      <xdr:row>0</xdr:row>
      <xdr:rowOff>66675</xdr:rowOff>
    </xdr:from>
    <xdr:to>
      <xdr:col>2</xdr:col>
      <xdr:colOff>1943100</xdr:colOff>
      <xdr:row>2</xdr:row>
      <xdr:rowOff>104775</xdr:rowOff>
    </xdr:to>
    <xdr:sp macro="[0]!ShowDashboard" textlink="">
      <xdr:nvSpPr>
        <xdr:cNvPr id="3" name="Rounded Rectangle 2"/>
        <xdr:cNvSpPr/>
      </xdr:nvSpPr>
      <xdr:spPr>
        <a:xfrm>
          <a:off x="4629150" y="66675"/>
          <a:ext cx="1885950" cy="41910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Georgia" panose="02040502050405020303" pitchFamily="18" charset="0"/>
            </a:rPr>
            <a:t>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5</xdr:row>
      <xdr:rowOff>76201</xdr:rowOff>
    </xdr:to>
    <xdr:sp macro="[0]!EnterNewProduct" textlink="">
      <xdr:nvSpPr>
        <xdr:cNvPr id="4" name="Rounded Rectangle 3"/>
        <xdr:cNvSpPr/>
      </xdr:nvSpPr>
      <xdr:spPr>
        <a:xfrm>
          <a:off x="4638675" y="790576"/>
          <a:ext cx="1905000" cy="381000"/>
        </a:xfrm>
        <a:prstGeom prst="roundRect">
          <a:avLst>
            <a:gd name="adj" fmla="val 1141"/>
          </a:avLst>
        </a:prstGeom>
        <a:solidFill>
          <a:schemeClr val="accent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Georgia" panose="02040502050405020303" pitchFamily="18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dah Holanda Correia Lima" refreshedDate="42721.597770023145" createdVersion="5" refreshedVersion="4" minRefreshableVersion="3" recordCount="10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164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164">
      <sharedItems containsSemiMixedTypes="0" containsString="0" containsNumber="1" minValue="2535" maxValue="2239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0"/>
    <n v="223960"/>
  </r>
  <r>
    <n v="3"/>
    <s v="P000042"/>
    <s v="Chef Collection"/>
    <s v="Dishwasher"/>
    <x v="0"/>
    <n v="1099"/>
    <n v="10"/>
    <n v="50"/>
    <n v="5495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150"/>
    <n v="104998.5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7">
  <location ref="F1:G7" firstHeaderRow="2" firstDataRow="2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StockInData" displayName="StockInData" ref="A1:H20" totalsRowShown="0" headerRowDxfId="30" dataDxfId="29">
  <tableColumns count="8">
    <tableColumn id="1" name="N" dataDxfId="28"/>
    <tableColumn id="2" name="Data" dataDxfId="27"/>
    <tableColumn id="3" name="ID" dataDxfId="26"/>
    <tableColumn id="4" name="Nome" dataDxfId="25"/>
    <tableColumn id="5" name="Descrição" dataDxfId="24"/>
    <tableColumn id="6" name="Categoria" dataDxfId="23"/>
    <tableColumn id="7" name="Quantidade" dataDxfId="22"/>
    <tableColumn id="8" name="Valor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6" totalsRowShown="0" headerRowDxfId="20" dataDxfId="19">
  <tableColumns count="8">
    <tableColumn id="1" name="S No." dataDxfId="18"/>
    <tableColumn id="2" name="Date" dataDxfId="17"/>
    <tableColumn id="3" name="Product ID" dataDxfId="16"/>
    <tableColumn id="4" name="Product Name" dataDxfId="15"/>
    <tableColumn id="5" name="Product Description" dataDxfId="14"/>
    <tableColumn id="6" name="Product Category" dataDxfId="13"/>
    <tableColumn id="7" name="Quantity" dataDxfId="12"/>
    <tableColumn id="8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3" name="ProductMaster" displayName="ProductMaster" ref="A1:I11" totalsRowShown="0" headerRowDxfId="10" dataDxfId="9">
  <tableColumns count="9">
    <tableColumn id="1" name="S No." dataDxfId="8"/>
    <tableColumn id="2" name="Product ID" dataDxfId="7"/>
    <tableColumn id="3" name="Product Name" dataDxfId="6"/>
    <tableColumn id="4" name="Product Description" dataDxfId="5"/>
    <tableColumn id="5" name="Product Category" dataDxfId="4"/>
    <tableColumn id="8" name="Unit Price" dataDxfId="3"/>
    <tableColumn id="6" name="Reorder Level" dataDxfId="2"/>
    <tableColumn id="7" name="Current Stock" dataDxfId="1">
      <calculatedColumnFormula>SUMIFS(StockInData[Quantidade],StockInData[ID],ProductMaster[[#This Row],[Product ID]])-SUMIFS(StockOutData[Quantity],StockOutData[Product ID],ProductMaster[[#This Row],[Product ID]])</calculatedColumnFormula>
    </tableColumn>
    <tableColumn id="9" name="Value" dataDxfId="0">
      <calculatedColumnFormula>SUMIFS(StockInData[Valor],StockInData[ID],ProductMaster[[#This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S24"/>
  <sheetViews>
    <sheetView showGridLines="0" showRowColHeaders="0" tabSelected="1" workbookViewId="0">
      <selection activeCell="H5" sqref="H5"/>
    </sheetView>
  </sheetViews>
  <sheetFormatPr baseColWidth="10" defaultColWidth="0" defaultRowHeight="14" zeroHeight="1" x14ac:dyDescent="0"/>
  <cols>
    <col min="1" max="18" width="9" customWidth="1"/>
    <col min="19" max="19" width="1.83203125" customWidth="1"/>
    <col min="20" max="16384" width="9" hidden="1"/>
  </cols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" thickBo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ht="15" thickBot="1">
      <c r="A12" s="1"/>
      <c r="B12" s="1"/>
      <c r="C12" s="1"/>
      <c r="D12" s="1"/>
      <c r="E12" s="1"/>
      <c r="F12" s="1"/>
      <c r="G12" s="1"/>
      <c r="H12" s="1"/>
      <c r="I12" s="1"/>
      <c r="J12" s="1"/>
      <c r="K12" s="47" t="s">
        <v>38</v>
      </c>
      <c r="L12" s="48"/>
      <c r="M12" s="1"/>
      <c r="N12" s="1"/>
      <c r="O12" s="1"/>
      <c r="P12" s="1"/>
      <c r="Q12" s="1"/>
      <c r="R12" s="1"/>
      <c r="S12" s="1"/>
    </row>
    <row r="13" spans="1:19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</sheetData>
  <mergeCells count="1">
    <mergeCell ref="K12:L1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ProductMaster!$C$2:$C$11</xm:f>
          </x14:formula1>
          <xm:sqref>K12:L12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G47"/>
  <sheetViews>
    <sheetView workbookViewId="0">
      <selection activeCell="E16" sqref="E16"/>
    </sheetView>
  </sheetViews>
  <sheetFormatPr baseColWidth="10" defaultColWidth="8.83203125" defaultRowHeight="14" x14ac:dyDescent="0"/>
  <cols>
    <col min="1" max="1" width="29" bestFit="1" customWidth="1"/>
    <col min="2" max="2" width="12" bestFit="1" customWidth="1"/>
    <col min="4" max="4" width="10" customWidth="1"/>
    <col min="6" max="6" width="16.83203125" bestFit="1" customWidth="1"/>
    <col min="7" max="7" width="4.83203125" customWidth="1"/>
    <col min="9" max="9" width="12.6640625" customWidth="1"/>
    <col min="10" max="10" width="13.6640625" customWidth="1"/>
    <col min="11" max="11" width="14" bestFit="1" customWidth="1"/>
    <col min="14" max="18" width="18.6640625" customWidth="1"/>
  </cols>
  <sheetData>
    <row r="1" spans="1:7">
      <c r="A1" t="s">
        <v>12</v>
      </c>
      <c r="B1" s="2" t="str">
        <f>SUM(ProductMaster[Current Stock])&amp; " Unit(s)"</f>
        <v>635 Unit(s)</v>
      </c>
      <c r="D1" s="17"/>
      <c r="E1" s="17"/>
      <c r="F1" s="18" t="s">
        <v>37</v>
      </c>
    </row>
    <row r="2" spans="1:7">
      <c r="A2" t="s">
        <v>26</v>
      </c>
      <c r="B2" s="16">
        <f>SUM(ProductMaster[Value])</f>
        <v>634784.04999999993</v>
      </c>
      <c r="F2" s="18" t="s">
        <v>31</v>
      </c>
      <c r="G2" t="s">
        <v>55</v>
      </c>
    </row>
    <row r="3" spans="1:7">
      <c r="A3" t="s">
        <v>27</v>
      </c>
      <c r="B3" s="17">
        <f ca="1">DATE(YEAR(TODAY()),MONTH(TODAY()),1)-1</f>
        <v>42704</v>
      </c>
      <c r="F3" s="19" t="s">
        <v>10</v>
      </c>
      <c r="G3" s="20">
        <v>175</v>
      </c>
    </row>
    <row r="4" spans="1:7">
      <c r="A4" t="s">
        <v>28</v>
      </c>
      <c r="B4" s="17">
        <f ca="1">EOMONTH(TODAY(),0)+1</f>
        <v>42736</v>
      </c>
      <c r="F4" s="19" t="s">
        <v>33</v>
      </c>
      <c r="G4" s="20">
        <v>330</v>
      </c>
    </row>
    <row r="5" spans="1:7">
      <c r="A5" t="s">
        <v>29</v>
      </c>
      <c r="B5" s="2" t="str">
        <f ca="1">SUMIFS(StockInData[Quantidade],StockInData[Data],"&gt;"&amp;Help!B3,StockInData[Data],"&lt;"&amp;Help!B4)&amp;" Unit(s)"</f>
        <v>0 Unit(s)</v>
      </c>
      <c r="F5" s="19" t="s">
        <v>35</v>
      </c>
      <c r="G5" s="20">
        <v>100</v>
      </c>
    </row>
    <row r="6" spans="1:7">
      <c r="A6" t="s">
        <v>30</v>
      </c>
      <c r="B6" s="2" t="str">
        <f ca="1">SUMIFS(StockOutData[Quantity],StockOutData[Date],"&gt;"&amp;Help!B3,StockOutData[Date],"&lt;"&amp;Help!B4)&amp;" Unit(s)"</f>
        <v>0 Unit(s)</v>
      </c>
      <c r="F6" s="19" t="s">
        <v>36</v>
      </c>
      <c r="G6" s="20">
        <v>30</v>
      </c>
    </row>
    <row r="7" spans="1:7">
      <c r="A7" t="s">
        <v>52</v>
      </c>
      <c r="B7" s="27">
        <f>MATCH(Dashboard!K12,ProductMaster[Product Name],0)</f>
        <v>8</v>
      </c>
      <c r="F7" s="19" t="s">
        <v>32</v>
      </c>
      <c r="G7" s="20">
        <v>635</v>
      </c>
    </row>
    <row r="8" spans="1:7">
      <c r="A8" t="s">
        <v>3</v>
      </c>
      <c r="B8" s="27" t="str">
        <f>VLOOKUP(B7,ProductMaster[#All],3,0)</f>
        <v>Galaxy Tab A</v>
      </c>
    </row>
    <row r="9" spans="1:7">
      <c r="A9" t="s">
        <v>11</v>
      </c>
      <c r="B9">
        <f>VLOOKUP(B7,ProductMaster[#All],7,0)</f>
        <v>60</v>
      </c>
    </row>
    <row r="10" spans="1:7">
      <c r="A10" t="s">
        <v>26</v>
      </c>
      <c r="B10">
        <f>VLOOKUP(B7,ProductMaster[#All],8,0)</f>
        <v>70</v>
      </c>
    </row>
    <row r="11" spans="1:7">
      <c r="A11" t="s">
        <v>26</v>
      </c>
      <c r="B11" s="16">
        <f>VLOOKUP(B7,ProductMaster[#All],6,0)</f>
        <v>279.89999999999998</v>
      </c>
    </row>
    <row r="12" spans="1:7">
      <c r="A12" t="s">
        <v>53</v>
      </c>
      <c r="B12" t="str">
        <f>"Current Stock is "&amp;B10&amp;" Unit(s). And, Stock Value is "&amp;TEXT(B11,"$0")</f>
        <v>Current Stock is 70 Unit(s). And, Stock Value is $280</v>
      </c>
    </row>
    <row r="13" spans="1:7">
      <c r="A13" t="s">
        <v>54</v>
      </c>
      <c r="B13" t="str">
        <f>B8&amp;"'s"</f>
        <v>Galaxy Tab A's</v>
      </c>
    </row>
    <row r="15" spans="1:7">
      <c r="A15" t="str">
        <f>IF(B10&gt;B9,"Relax! Stock Is Above Re-Order Level.","")</f>
        <v>Relax! Stock Is Above Re-Order Level.</v>
      </c>
    </row>
    <row r="16" spans="1:7" ht="37.5" customHeight="1">
      <c r="A16" t="str">
        <f>IF(B9&gt;B10,"Do Something, Stock is Below Re-Order Level.","")</f>
        <v/>
      </c>
    </row>
    <row r="17" spans="1:1" ht="37.5" customHeight="1">
      <c r="A17" t="str">
        <f>IF(B10=B9,"Hurry Up You Need More Stock","")</f>
        <v/>
      </c>
    </row>
    <row r="18" spans="1:1" ht="37.5" customHeight="1"/>
    <row r="19" spans="1:1" ht="52.5" customHeight="1"/>
    <row r="20" spans="1:1" ht="52.5" customHeight="1"/>
    <row r="38" ht="31.5" customHeight="1"/>
    <row r="39" ht="79.5" customHeight="1"/>
    <row r="40" ht="31.5" customHeight="1"/>
    <row r="41" ht="31.5" customHeight="1"/>
    <row r="42" ht="31.5" customHeight="1"/>
    <row r="43" ht="31.5" customHeight="1"/>
    <row r="44" ht="31.5" customHeight="1"/>
    <row r="45" ht="31.5" customHeight="1"/>
    <row r="46" ht="31.5" customHeight="1"/>
    <row r="47" ht="31.5" customHeight="1"/>
  </sheetData>
  <pageMargins left="0.7" right="0.7" top="0.75" bottom="0.75" header="0.3" footer="0.3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3"/>
  <sheetViews>
    <sheetView showGridLines="0" workbookViewId="0">
      <selection activeCell="B8" sqref="B8"/>
    </sheetView>
  </sheetViews>
  <sheetFormatPr baseColWidth="10" defaultColWidth="0" defaultRowHeight="14" zeroHeight="1" x14ac:dyDescent="0"/>
  <cols>
    <col min="1" max="1" width="28.5" bestFit="1" customWidth="1"/>
    <col min="2" max="2" width="31.5" style="12" customWidth="1"/>
    <col min="3" max="3" width="26.5" customWidth="1"/>
    <col min="4" max="8" width="0" hidden="1" customWidth="1"/>
    <col min="9" max="16384" width="9" hidden="1"/>
  </cols>
  <sheetData>
    <row r="1" spans="1:3">
      <c r="A1" s="1"/>
      <c r="B1" s="35"/>
      <c r="C1" s="1"/>
    </row>
    <row r="2" spans="1:3">
      <c r="A2" s="1"/>
      <c r="B2" s="35"/>
      <c r="C2" s="1"/>
    </row>
    <row r="3" spans="1:3">
      <c r="A3" s="1"/>
      <c r="B3" s="35"/>
      <c r="C3" s="1"/>
    </row>
    <row r="4" spans="1:3">
      <c r="A4" s="1"/>
      <c r="B4" s="35"/>
      <c r="C4" s="1"/>
    </row>
    <row r="5" spans="1:3" ht="25">
      <c r="A5" s="36" t="s">
        <v>0</v>
      </c>
      <c r="B5" s="37" t="str">
        <f>IF(B8="","",(MAX(StockInData[N])+1))</f>
        <v/>
      </c>
      <c r="C5" s="1"/>
    </row>
    <row r="6" spans="1:3" ht="25">
      <c r="A6" s="36" t="s">
        <v>1</v>
      </c>
      <c r="B6" s="38" t="str">
        <f ca="1">IF(B8="","",TODAY())</f>
        <v/>
      </c>
      <c r="C6" s="1"/>
    </row>
    <row r="7" spans="1:3" ht="25">
      <c r="A7" s="36" t="s">
        <v>2</v>
      </c>
      <c r="B7" s="39" t="str">
        <f>IFERROR(INDEX(ProductMaster[Product ID],MATCH(EnterStockIn!B8,ProductMaster[Product Name],0),0),"")</f>
        <v/>
      </c>
      <c r="C7" s="1"/>
    </row>
    <row r="8" spans="1:3" ht="25">
      <c r="A8" s="36" t="s">
        <v>3</v>
      </c>
      <c r="B8" s="46"/>
      <c r="C8" s="1"/>
    </row>
    <row r="9" spans="1:3" ht="25">
      <c r="A9" s="36" t="s">
        <v>4</v>
      </c>
      <c r="B9" s="39" t="str">
        <f>IFERROR(INDEX(ProductMaster[Product Description],MATCH(EnterStockIn!B8,ProductMaster[Product Name],0),0),"")</f>
        <v/>
      </c>
      <c r="C9" s="1"/>
    </row>
    <row r="10" spans="1:3" ht="25">
      <c r="A10" s="36" t="s">
        <v>5</v>
      </c>
      <c r="B10" s="39" t="str">
        <f>IFERROR(INDEX(ProductMaster[Product Category],MATCH(EnterStockIn!B8,ProductMaster[Product Name],0),0),"")</f>
        <v/>
      </c>
      <c r="C10" s="1"/>
    </row>
    <row r="11" spans="1:3" ht="25">
      <c r="A11" s="36" t="s">
        <v>6</v>
      </c>
      <c r="B11" s="46"/>
      <c r="C11" s="1"/>
    </row>
    <row r="12" spans="1:3" ht="26" thickBot="1">
      <c r="A12" s="40" t="s">
        <v>7</v>
      </c>
      <c r="B12" s="41" t="str">
        <f>IF(B11="","",(IFERROR(INDEX(ProductMaster[Unit Price],MATCH(EnterStockIn!B8,ProductMaster[Product Name],0),0),0)*B11))</f>
        <v/>
      </c>
      <c r="C12" s="1"/>
    </row>
    <row r="13" spans="1:3" ht="15" thickTop="1">
      <c r="A13" s="1"/>
      <c r="B13" s="35"/>
      <c r="C13" s="1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13"/>
  <sheetViews>
    <sheetView showGridLines="0" workbookViewId="0">
      <selection activeCell="B5" sqref="B5:B12"/>
    </sheetView>
  </sheetViews>
  <sheetFormatPr baseColWidth="10" defaultColWidth="0" defaultRowHeight="15" customHeight="1" zeroHeight="1" x14ac:dyDescent="0"/>
  <cols>
    <col min="1" max="1" width="28.5" bestFit="1" customWidth="1"/>
    <col min="2" max="2" width="31.5" style="12" customWidth="1"/>
    <col min="3" max="3" width="26.5" customWidth="1"/>
    <col min="4" max="8" width="0" hidden="1" customWidth="1"/>
    <col min="9" max="16384" width="9" hidden="1"/>
  </cols>
  <sheetData>
    <row r="1" spans="1:3" ht="14">
      <c r="A1" s="1"/>
      <c r="B1" s="35"/>
      <c r="C1" s="1"/>
    </row>
    <row r="2" spans="1:3" ht="14">
      <c r="A2" s="1"/>
      <c r="B2" s="35"/>
      <c r="C2" s="1"/>
    </row>
    <row r="3" spans="1:3" ht="14">
      <c r="A3" s="1"/>
      <c r="B3" s="35"/>
      <c r="C3" s="1"/>
    </row>
    <row r="4" spans="1:3" ht="14">
      <c r="A4" s="1"/>
      <c r="B4" s="35"/>
      <c r="C4" s="1"/>
    </row>
    <row r="5" spans="1:3" ht="25">
      <c r="A5" s="36" t="s">
        <v>0</v>
      </c>
      <c r="B5" s="37" t="str">
        <f>IF(B8="","",(MAX(StockInData[N])+1))</f>
        <v/>
      </c>
      <c r="C5" s="1"/>
    </row>
    <row r="6" spans="1:3" ht="25">
      <c r="A6" s="36" t="s">
        <v>1</v>
      </c>
      <c r="B6" s="38" t="str">
        <f ca="1">IF(B8="","",TODAY())</f>
        <v/>
      </c>
      <c r="C6" s="1"/>
    </row>
    <row r="7" spans="1:3" ht="25">
      <c r="A7" s="36" t="s">
        <v>2</v>
      </c>
      <c r="B7" s="39" t="str">
        <f>IFERROR(INDEX(ProductMaster[Product ID],MATCH(EnterStockOut!B8,ProductMaster[Product Name],0),0),"")</f>
        <v/>
      </c>
      <c r="C7" s="1"/>
    </row>
    <row r="8" spans="1:3" ht="25">
      <c r="A8" s="36" t="s">
        <v>3</v>
      </c>
      <c r="B8" s="46"/>
      <c r="C8" s="1"/>
    </row>
    <row r="9" spans="1:3" ht="25">
      <c r="A9" s="36" t="s">
        <v>4</v>
      </c>
      <c r="B9" s="39" t="str">
        <f>IFERROR(INDEX(ProductMaster[Product Description],MATCH(EnterStockOut!B8,ProductMaster[Product Name],0),0),"")</f>
        <v/>
      </c>
      <c r="C9" s="1"/>
    </row>
    <row r="10" spans="1:3" ht="25">
      <c r="A10" s="36" t="s">
        <v>5</v>
      </c>
      <c r="B10" s="39" t="str">
        <f>IFERROR(INDEX(ProductMaster[Product Category],MATCH(EnterStockOut!B8,ProductMaster[Product Name],0),0),"")</f>
        <v/>
      </c>
      <c r="C10" s="1"/>
    </row>
    <row r="11" spans="1:3" ht="25">
      <c r="A11" s="36" t="s">
        <v>6</v>
      </c>
      <c r="B11" s="46"/>
      <c r="C11" s="1"/>
    </row>
    <row r="12" spans="1:3" ht="26" thickBot="1">
      <c r="A12" s="40" t="s">
        <v>7</v>
      </c>
      <c r="B12" s="41" t="str">
        <f>IF(B11="","",(IFERROR(INDEX(ProductMaster[Unit Price],MATCH(EnterStockOut!B8,ProductMaster[Product Name],0),0),0)*B11))</f>
        <v/>
      </c>
      <c r="C12" s="1"/>
    </row>
    <row r="13" spans="1:3" thickTop="1">
      <c r="A13" s="1"/>
      <c r="B13" s="35"/>
      <c r="C13" s="1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20"/>
  <sheetViews>
    <sheetView showGridLines="0" workbookViewId="0">
      <pane ySplit="1" topLeftCell="A2" activePane="bottomLeft" state="frozen"/>
      <selection pane="bottomLeft" activeCell="I24" sqref="I24"/>
    </sheetView>
  </sheetViews>
  <sheetFormatPr baseColWidth="10" defaultColWidth="8.83203125" defaultRowHeight="14" x14ac:dyDescent="0"/>
  <cols>
    <col min="1" max="1" width="5" style="2" customWidth="1"/>
    <col min="2" max="2" width="10.1640625" style="14" customWidth="1"/>
    <col min="3" max="3" width="9.6640625" style="2" customWidth="1"/>
    <col min="4" max="4" width="15.1640625" style="2" customWidth="1"/>
    <col min="5" max="5" width="17.1640625" style="2" customWidth="1"/>
    <col min="6" max="6" width="17.1640625" customWidth="1"/>
    <col min="7" max="7" width="9.1640625" customWidth="1"/>
    <col min="8" max="8" width="12.1640625" customWidth="1"/>
  </cols>
  <sheetData>
    <row r="1" spans="1:8" s="7" customFormat="1" ht="13">
      <c r="A1" s="4" t="s">
        <v>56</v>
      </c>
      <c r="B1" s="13" t="s">
        <v>57</v>
      </c>
      <c r="C1" s="4" t="s">
        <v>58</v>
      </c>
      <c r="D1" s="4" t="s">
        <v>59</v>
      </c>
      <c r="E1" s="4" t="s">
        <v>60</v>
      </c>
      <c r="F1" s="4" t="s">
        <v>61</v>
      </c>
      <c r="G1" s="4" t="s">
        <v>62</v>
      </c>
      <c r="H1" s="4" t="s">
        <v>63</v>
      </c>
    </row>
    <row r="2" spans="1:8" ht="16">
      <c r="A2" s="3">
        <v>1</v>
      </c>
      <c r="B2" s="6">
        <v>42588</v>
      </c>
      <c r="C2" s="3" t="s">
        <v>14</v>
      </c>
      <c r="D2" s="24" t="s">
        <v>40</v>
      </c>
      <c r="E2" s="24" t="s">
        <v>41</v>
      </c>
      <c r="F2" s="3" t="s">
        <v>10</v>
      </c>
      <c r="G2" s="3">
        <v>20</v>
      </c>
      <c r="H2" s="15">
        <v>8400</v>
      </c>
    </row>
    <row r="3" spans="1:8" ht="16">
      <c r="A3" s="3">
        <v>2</v>
      </c>
      <c r="B3" s="6">
        <v>42588</v>
      </c>
      <c r="C3" s="3" t="s">
        <v>13</v>
      </c>
      <c r="D3" s="3" t="s">
        <v>9</v>
      </c>
      <c r="E3" s="3" t="s">
        <v>8</v>
      </c>
      <c r="F3" s="3" t="s">
        <v>10</v>
      </c>
      <c r="G3" s="3">
        <v>20</v>
      </c>
      <c r="H3" s="15">
        <v>7000</v>
      </c>
    </row>
    <row r="4" spans="1:8" ht="16">
      <c r="A4" s="3">
        <v>2</v>
      </c>
      <c r="B4" s="6">
        <v>42588</v>
      </c>
      <c r="C4" s="3" t="s">
        <v>13</v>
      </c>
      <c r="D4" s="3" t="s">
        <v>9</v>
      </c>
      <c r="E4" s="3" t="s">
        <v>8</v>
      </c>
      <c r="F4" s="3" t="s">
        <v>10</v>
      </c>
      <c r="G4" s="3">
        <v>20</v>
      </c>
      <c r="H4" s="15">
        <v>7000</v>
      </c>
    </row>
    <row r="5" spans="1:8" ht="16">
      <c r="A5" s="3">
        <v>2</v>
      </c>
      <c r="B5" s="6">
        <v>42588</v>
      </c>
      <c r="C5" s="3" t="s">
        <v>13</v>
      </c>
      <c r="D5" s="3" t="s">
        <v>9</v>
      </c>
      <c r="E5" s="3" t="s">
        <v>8</v>
      </c>
      <c r="F5" s="3" t="s">
        <v>10</v>
      </c>
      <c r="G5" s="3">
        <v>20</v>
      </c>
      <c r="H5" s="15">
        <v>7000</v>
      </c>
    </row>
    <row r="6" spans="1:8" ht="16">
      <c r="A6" s="3">
        <v>2</v>
      </c>
      <c r="B6" s="6">
        <v>42588</v>
      </c>
      <c r="C6" s="3" t="s">
        <v>13</v>
      </c>
      <c r="D6" s="3" t="s">
        <v>9</v>
      </c>
      <c r="E6" s="3" t="s">
        <v>8</v>
      </c>
      <c r="F6" s="3" t="s">
        <v>10</v>
      </c>
      <c r="G6" s="3">
        <v>20</v>
      </c>
      <c r="H6" s="15">
        <v>7000</v>
      </c>
    </row>
    <row r="7" spans="1:8" ht="16">
      <c r="A7" s="24">
        <v>3</v>
      </c>
      <c r="B7" s="25">
        <v>42590</v>
      </c>
      <c r="C7" s="24" t="s">
        <v>16</v>
      </c>
      <c r="D7" s="24" t="s">
        <v>45</v>
      </c>
      <c r="E7" s="24" t="s">
        <v>44</v>
      </c>
      <c r="F7" s="24" t="s">
        <v>10</v>
      </c>
      <c r="G7" s="24">
        <v>10</v>
      </c>
      <c r="H7" s="26">
        <v>1690</v>
      </c>
    </row>
    <row r="8" spans="1:8" ht="16">
      <c r="A8" s="24">
        <v>4</v>
      </c>
      <c r="B8" s="25">
        <v>42590</v>
      </c>
      <c r="C8" s="24" t="s">
        <v>14</v>
      </c>
      <c r="D8" s="24" t="s">
        <v>40</v>
      </c>
      <c r="E8" s="24" t="s">
        <v>41</v>
      </c>
      <c r="F8" s="24" t="s">
        <v>10</v>
      </c>
      <c r="G8" s="24">
        <v>10</v>
      </c>
      <c r="H8" s="26">
        <v>55990</v>
      </c>
    </row>
    <row r="9" spans="1:8" ht="16">
      <c r="A9" s="24">
        <v>5</v>
      </c>
      <c r="B9" s="25">
        <v>42590</v>
      </c>
      <c r="C9" s="24" t="s">
        <v>13</v>
      </c>
      <c r="D9" s="24" t="s">
        <v>47</v>
      </c>
      <c r="E9" s="24" t="s">
        <v>8</v>
      </c>
      <c r="F9" s="24" t="s">
        <v>10</v>
      </c>
      <c r="G9" s="24">
        <v>5</v>
      </c>
      <c r="H9" s="26">
        <v>1750</v>
      </c>
    </row>
    <row r="10" spans="1:8" ht="16">
      <c r="A10" s="24">
        <v>6</v>
      </c>
      <c r="B10" s="25">
        <v>42590</v>
      </c>
      <c r="C10" s="24" t="s">
        <v>14</v>
      </c>
      <c r="D10" s="24" t="s">
        <v>40</v>
      </c>
      <c r="E10" s="24" t="s">
        <v>41</v>
      </c>
      <c r="F10" s="24" t="s">
        <v>10</v>
      </c>
      <c r="G10" s="24">
        <v>10</v>
      </c>
      <c r="H10" s="26">
        <v>55990</v>
      </c>
    </row>
    <row r="11" spans="1:8" ht="16">
      <c r="A11" s="24">
        <v>7</v>
      </c>
      <c r="B11" s="25">
        <v>42590</v>
      </c>
      <c r="C11" s="24" t="s">
        <v>15</v>
      </c>
      <c r="D11" s="24" t="s">
        <v>46</v>
      </c>
      <c r="E11" s="24" t="s">
        <v>43</v>
      </c>
      <c r="F11" s="24" t="s">
        <v>10</v>
      </c>
      <c r="G11" s="24">
        <v>50</v>
      </c>
      <c r="H11" s="26">
        <v>54950</v>
      </c>
    </row>
    <row r="12" spans="1:8" ht="16">
      <c r="A12" s="24">
        <v>8</v>
      </c>
      <c r="B12" s="25">
        <v>42590</v>
      </c>
      <c r="C12" s="24" t="s">
        <v>18</v>
      </c>
      <c r="D12" s="24" t="s">
        <v>50</v>
      </c>
      <c r="E12" s="24" t="s">
        <v>34</v>
      </c>
      <c r="F12" s="24" t="s">
        <v>33</v>
      </c>
      <c r="G12" s="24">
        <v>200</v>
      </c>
      <c r="H12" s="26">
        <v>169998</v>
      </c>
    </row>
    <row r="13" spans="1:8" ht="16">
      <c r="A13" s="24">
        <v>9</v>
      </c>
      <c r="B13" s="25">
        <v>42590</v>
      </c>
      <c r="C13" s="24" t="s">
        <v>19</v>
      </c>
      <c r="D13" s="24" t="s">
        <v>49</v>
      </c>
      <c r="E13" s="24" t="s">
        <v>34</v>
      </c>
      <c r="F13" s="24" t="s">
        <v>33</v>
      </c>
      <c r="G13" s="24">
        <v>150</v>
      </c>
      <c r="H13" s="26">
        <v>104998.5</v>
      </c>
    </row>
    <row r="14" spans="1:8" ht="16">
      <c r="A14" s="24">
        <v>10</v>
      </c>
      <c r="B14" s="25">
        <v>42590</v>
      </c>
      <c r="C14" s="24" t="s">
        <v>20</v>
      </c>
      <c r="D14" s="24" t="s">
        <v>38</v>
      </c>
      <c r="E14" s="24" t="s">
        <v>34</v>
      </c>
      <c r="F14" s="24" t="s">
        <v>35</v>
      </c>
      <c r="G14" s="24">
        <v>70</v>
      </c>
      <c r="H14" s="26">
        <v>19593</v>
      </c>
    </row>
    <row r="15" spans="1:8" ht="16">
      <c r="A15" s="24">
        <v>11</v>
      </c>
      <c r="B15" s="25">
        <v>42590</v>
      </c>
      <c r="C15" s="24" t="s">
        <v>22</v>
      </c>
      <c r="D15" s="24" t="s">
        <v>42</v>
      </c>
      <c r="E15" s="24" t="s">
        <v>36</v>
      </c>
      <c r="F15" s="24" t="s">
        <v>36</v>
      </c>
      <c r="G15" s="24">
        <v>30</v>
      </c>
      <c r="H15" s="26">
        <v>35999.699999999997</v>
      </c>
    </row>
    <row r="16" spans="1:8" ht="16">
      <c r="A16" s="24">
        <v>12</v>
      </c>
      <c r="B16" s="25">
        <v>42590</v>
      </c>
      <c r="C16" s="24" t="s">
        <v>21</v>
      </c>
      <c r="D16" s="24" t="s">
        <v>39</v>
      </c>
      <c r="E16" s="24" t="s">
        <v>34</v>
      </c>
      <c r="F16" s="24" t="s">
        <v>35</v>
      </c>
      <c r="G16" s="24">
        <v>30</v>
      </c>
      <c r="H16" s="26">
        <v>11999.7</v>
      </c>
    </row>
    <row r="17" spans="1:8" ht="16">
      <c r="A17" s="24">
        <v>13</v>
      </c>
      <c r="B17" s="25">
        <v>42590</v>
      </c>
      <c r="C17" s="24" t="s">
        <v>17</v>
      </c>
      <c r="D17" s="24" t="s">
        <v>48</v>
      </c>
      <c r="E17" s="24" t="s">
        <v>51</v>
      </c>
      <c r="F17" s="24" t="s">
        <v>10</v>
      </c>
      <c r="G17" s="24">
        <v>10</v>
      </c>
      <c r="H17" s="26">
        <v>9999.9</v>
      </c>
    </row>
    <row r="18" spans="1:8" ht="16">
      <c r="A18" s="24">
        <v>14</v>
      </c>
      <c r="B18" s="25">
        <v>42590</v>
      </c>
      <c r="C18" s="24" t="s">
        <v>16</v>
      </c>
      <c r="D18" s="24" t="s">
        <v>45</v>
      </c>
      <c r="E18" s="24" t="s">
        <v>44</v>
      </c>
      <c r="F18" s="24" t="s">
        <v>10</v>
      </c>
      <c r="G18" s="24">
        <v>10</v>
      </c>
      <c r="H18" s="26">
        <v>1690</v>
      </c>
    </row>
    <row r="19" spans="1:8" ht="16">
      <c r="A19" s="3">
        <v>15</v>
      </c>
      <c r="B19" s="6">
        <v>42590</v>
      </c>
      <c r="C19" s="3" t="s">
        <v>14</v>
      </c>
      <c r="D19" s="3" t="s">
        <v>40</v>
      </c>
      <c r="E19" s="3" t="s">
        <v>41</v>
      </c>
      <c r="F19" s="3" t="s">
        <v>10</v>
      </c>
      <c r="G19" s="3">
        <v>10</v>
      </c>
      <c r="H19" s="15">
        <v>55990</v>
      </c>
    </row>
    <row r="20" spans="1:8" ht="16">
      <c r="A20" s="3">
        <v>16</v>
      </c>
      <c r="B20" s="6">
        <v>42591</v>
      </c>
      <c r="C20" s="3" t="s">
        <v>14</v>
      </c>
      <c r="D20" s="3" t="s">
        <v>40</v>
      </c>
      <c r="E20" s="3" t="s">
        <v>41</v>
      </c>
      <c r="F20" s="3" t="s">
        <v>10</v>
      </c>
      <c r="G20" s="3">
        <v>10</v>
      </c>
      <c r="H20" s="15">
        <v>55990</v>
      </c>
    </row>
  </sheetData>
  <pageMargins left="0.7" right="0.7" top="0.75" bottom="0.75" header="0.3" footer="0.3"/>
  <pageSetup orientation="portrait" verticalDpi="0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H6"/>
  <sheetViews>
    <sheetView showGridLines="0" workbookViewId="0">
      <pane ySplit="1" topLeftCell="A2" activePane="bottomLeft" state="frozen"/>
      <selection pane="bottomLeft" activeCell="H9" sqref="H9"/>
    </sheetView>
  </sheetViews>
  <sheetFormatPr baseColWidth="10" defaultColWidth="8.83203125" defaultRowHeight="14" x14ac:dyDescent="0"/>
  <cols>
    <col min="1" max="1" width="5" style="2" bestFit="1" customWidth="1"/>
    <col min="2" max="2" width="10.1640625" style="14" bestFit="1" customWidth="1"/>
    <col min="3" max="3" width="9.6640625" style="2" bestFit="1" customWidth="1"/>
    <col min="4" max="4" width="13" style="2" bestFit="1" customWidth="1"/>
    <col min="5" max="5" width="17.1640625" style="2" bestFit="1" customWidth="1"/>
    <col min="6" max="6" width="17.1640625" bestFit="1" customWidth="1"/>
    <col min="7" max="7" width="7.1640625" bestFit="1" customWidth="1"/>
    <col min="8" max="8" width="11" bestFit="1" customWidth="1"/>
  </cols>
  <sheetData>
    <row r="1" spans="1:8" s="7" customFormat="1" ht="13">
      <c r="A1" s="4" t="s">
        <v>0</v>
      </c>
      <c r="B1" s="1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8" ht="16">
      <c r="A2" s="3">
        <v>1</v>
      </c>
      <c r="B2" s="6">
        <v>42588</v>
      </c>
      <c r="C2" s="3" t="s">
        <v>14</v>
      </c>
      <c r="D2" s="3" t="s">
        <v>23</v>
      </c>
      <c r="E2" s="3" t="s">
        <v>24</v>
      </c>
      <c r="F2" s="3" t="s">
        <v>10</v>
      </c>
      <c r="G2" s="3">
        <v>20</v>
      </c>
      <c r="H2" s="15">
        <v>8400</v>
      </c>
    </row>
    <row r="3" spans="1:8" ht="16">
      <c r="A3" s="3">
        <v>2</v>
      </c>
      <c r="B3" s="6">
        <v>42588</v>
      </c>
      <c r="C3" s="3" t="s">
        <v>13</v>
      </c>
      <c r="D3" s="3" t="s">
        <v>9</v>
      </c>
      <c r="E3" s="3" t="s">
        <v>8</v>
      </c>
      <c r="F3" s="3" t="s">
        <v>10</v>
      </c>
      <c r="G3" s="3">
        <v>20</v>
      </c>
      <c r="H3" s="15">
        <v>7000</v>
      </c>
    </row>
    <row r="4" spans="1:8" ht="16">
      <c r="A4" s="3">
        <v>16</v>
      </c>
      <c r="B4" s="6">
        <v>42590</v>
      </c>
      <c r="C4" s="3" t="s">
        <v>17</v>
      </c>
      <c r="D4" s="3" t="s">
        <v>48</v>
      </c>
      <c r="E4" s="3" t="s">
        <v>51</v>
      </c>
      <c r="F4" s="3" t="s">
        <v>10</v>
      </c>
      <c r="G4" s="3">
        <v>5</v>
      </c>
      <c r="H4" s="15">
        <v>4999.95</v>
      </c>
    </row>
    <row r="5" spans="1:8" ht="16">
      <c r="A5" s="3">
        <v>16</v>
      </c>
      <c r="B5" s="6">
        <v>42590</v>
      </c>
      <c r="C5" s="3" t="s">
        <v>16</v>
      </c>
      <c r="D5" s="3" t="s">
        <v>45</v>
      </c>
      <c r="E5" s="3" t="s">
        <v>44</v>
      </c>
      <c r="F5" s="3" t="s">
        <v>10</v>
      </c>
      <c r="G5" s="3">
        <v>5</v>
      </c>
      <c r="H5" s="15">
        <v>845</v>
      </c>
    </row>
    <row r="6" spans="1:8" ht="16">
      <c r="A6" s="3">
        <v>17</v>
      </c>
      <c r="B6" s="6">
        <v>42591</v>
      </c>
      <c r="C6" s="3" t="s">
        <v>18</v>
      </c>
      <c r="D6" s="3" t="s">
        <v>50</v>
      </c>
      <c r="E6" s="3" t="s">
        <v>34</v>
      </c>
      <c r="F6" s="3" t="s">
        <v>33</v>
      </c>
      <c r="G6" s="3">
        <v>20</v>
      </c>
      <c r="H6" s="15">
        <v>16999.8</v>
      </c>
    </row>
  </sheetData>
  <pageMargins left="0.7" right="0.7" top="0.75" bottom="0.75" header="0.3" footer="0.3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1"/>
  <sheetViews>
    <sheetView showGridLines="0" workbookViewId="0">
      <pane ySplit="1" topLeftCell="A2" activePane="bottomLeft" state="frozen"/>
      <selection pane="bottomLeft" activeCell="B1" sqref="B1:I11"/>
    </sheetView>
  </sheetViews>
  <sheetFormatPr baseColWidth="10" defaultColWidth="8.83203125" defaultRowHeight="14" x14ac:dyDescent="0"/>
  <cols>
    <col min="1" max="1" width="5" customWidth="1"/>
    <col min="2" max="2" width="9.6640625" bestFit="1" customWidth="1"/>
    <col min="3" max="3" width="15.1640625" bestFit="1" customWidth="1"/>
    <col min="4" max="5" width="17.1640625" bestFit="1" customWidth="1"/>
    <col min="6" max="6" width="9.6640625" style="16" bestFit="1" customWidth="1"/>
    <col min="7" max="7" width="11.1640625" bestFit="1" customWidth="1"/>
    <col min="8" max="8" width="10.83203125" bestFit="1" customWidth="1"/>
    <col min="9" max="9" width="12.1640625" bestFit="1" customWidth="1"/>
  </cols>
  <sheetData>
    <row r="1" spans="1:9" s="10" customFormat="1" ht="13">
      <c r="A1" s="8" t="s">
        <v>0</v>
      </c>
      <c r="B1" s="8" t="s">
        <v>2</v>
      </c>
      <c r="C1" s="8" t="s">
        <v>3</v>
      </c>
      <c r="D1" s="8" t="s">
        <v>4</v>
      </c>
      <c r="E1" s="8" t="s">
        <v>5</v>
      </c>
      <c r="F1" s="34" t="s">
        <v>25</v>
      </c>
      <c r="G1" s="8" t="s">
        <v>11</v>
      </c>
      <c r="H1" s="9" t="s">
        <v>12</v>
      </c>
      <c r="I1" s="9" t="s">
        <v>7</v>
      </c>
    </row>
    <row r="2" spans="1:9">
      <c r="A2" s="42">
        <v>1</v>
      </c>
      <c r="B2" s="42" t="s">
        <v>13</v>
      </c>
      <c r="C2" s="42" t="s">
        <v>47</v>
      </c>
      <c r="D2" s="42" t="s">
        <v>8</v>
      </c>
      <c r="E2" s="42" t="s">
        <v>10</v>
      </c>
      <c r="F2" s="43">
        <v>350</v>
      </c>
      <c r="G2" s="42">
        <v>20</v>
      </c>
      <c r="H2" s="44">
        <f>SUMIFS(StockInData[Quantidade],StockInData[ID],ProductMaster[[#This Row],[Product ID]])-SUMIFS(StockOutData[Quantity],StockOutData[Product ID],ProductMaster[[#This Row],[Product ID]])</f>
        <v>65</v>
      </c>
      <c r="I2" s="45">
        <f>SUMIFS(StockInData[Valor],StockInData[ID],ProductMaster[[#This Row],[Product ID]])-SUMIFS(StockOutData[Value],StockOutData[Product ID],ProductMaster[[#This Row],[Product ID]])</f>
        <v>22750</v>
      </c>
    </row>
    <row r="3" spans="1:9">
      <c r="A3" s="44">
        <v>2</v>
      </c>
      <c r="B3" s="42" t="s">
        <v>14</v>
      </c>
      <c r="C3" s="44" t="s">
        <v>40</v>
      </c>
      <c r="D3" s="44" t="s">
        <v>41</v>
      </c>
      <c r="E3" s="42" t="s">
        <v>10</v>
      </c>
      <c r="F3" s="43">
        <v>5599</v>
      </c>
      <c r="G3" s="44">
        <v>15</v>
      </c>
      <c r="H3" s="44">
        <f>SUMIFS(StockInData[Quantidade],StockInData[ID],ProductMaster[[#This Row],[Product ID]])-SUMIFS(StockOutData[Quantity],StockOutData[Product ID],ProductMaster[[#This Row],[Product ID]])</f>
        <v>40</v>
      </c>
      <c r="I3" s="45">
        <f>SUMIFS(StockInData[Valor],StockInData[ID],ProductMaster[[#This Row],[Product ID]])-SUMIFS(StockOutData[Value],StockOutData[Product ID],ProductMaster[[#This Row],[Product ID]])</f>
        <v>223960</v>
      </c>
    </row>
    <row r="4" spans="1:9">
      <c r="A4" s="44">
        <v>3</v>
      </c>
      <c r="B4" s="42" t="s">
        <v>15</v>
      </c>
      <c r="C4" s="44" t="s">
        <v>46</v>
      </c>
      <c r="D4" s="44" t="s">
        <v>43</v>
      </c>
      <c r="E4" s="42" t="s">
        <v>10</v>
      </c>
      <c r="F4" s="43">
        <v>1099</v>
      </c>
      <c r="G4" s="44">
        <v>10</v>
      </c>
      <c r="H4" s="44">
        <f>SUMIFS(StockInData[Quantidade],StockInData[ID],ProductMaster[[#This Row],[Product ID]])-SUMIFS(StockOutData[Quantity],StockOutData[Product ID],ProductMaster[[#This Row],[Product ID]])</f>
        <v>50</v>
      </c>
      <c r="I4" s="45">
        <f>SUMIFS(StockInData[Valor],StockInData[ID],ProductMaster[[#This Row],[Product ID]])-SUMIFS(StockOutData[Value],StockOutData[Product ID],ProductMaster[[#This Row],[Product ID]])</f>
        <v>54950</v>
      </c>
    </row>
    <row r="5" spans="1:9">
      <c r="A5" s="44">
        <v>4</v>
      </c>
      <c r="B5" s="42" t="s">
        <v>16</v>
      </c>
      <c r="C5" s="44" t="s">
        <v>45</v>
      </c>
      <c r="D5" s="44" t="s">
        <v>44</v>
      </c>
      <c r="E5" s="42" t="s">
        <v>10</v>
      </c>
      <c r="F5" s="43">
        <v>169</v>
      </c>
      <c r="G5" s="44">
        <v>8</v>
      </c>
      <c r="H5" s="44">
        <f>SUMIFS(StockInData[Quantidade],StockInData[ID],ProductMaster[[#This Row],[Product ID]])-SUMIFS(StockOutData[Quantity],StockOutData[Product ID],ProductMaster[[#This Row],[Product ID]])</f>
        <v>15</v>
      </c>
      <c r="I5" s="45">
        <f>SUMIFS(StockInData[Valor],StockInData[ID],ProductMaster[[#This Row],[Product ID]])-SUMIFS(StockOutData[Value],StockOutData[Product ID],ProductMaster[[#This Row],[Product ID]])</f>
        <v>2535</v>
      </c>
    </row>
    <row r="6" spans="1:9">
      <c r="A6" s="44">
        <v>5</v>
      </c>
      <c r="B6" s="42" t="s">
        <v>17</v>
      </c>
      <c r="C6" s="44" t="s">
        <v>48</v>
      </c>
      <c r="D6" s="44" t="s">
        <v>51</v>
      </c>
      <c r="E6" s="42" t="s">
        <v>10</v>
      </c>
      <c r="F6" s="43">
        <v>999.99</v>
      </c>
      <c r="G6" s="44">
        <v>5</v>
      </c>
      <c r="H6" s="44">
        <f>SUMIFS(StockInData[Quantidade],StockInData[ID],ProductMaster[[#This Row],[Product ID]])-SUMIFS(StockOutData[Quantity],StockOutData[Product ID],ProductMaster[[#This Row],[Product ID]])</f>
        <v>5</v>
      </c>
      <c r="I6" s="45">
        <f>SUMIFS(StockInData[Valor],StockInData[ID],ProductMaster[[#This Row],[Product ID]])-SUMIFS(StockOutData[Value],StockOutData[Product ID],ProductMaster[[#This Row],[Product ID]])</f>
        <v>4999.95</v>
      </c>
    </row>
    <row r="7" spans="1:9">
      <c r="A7" s="44">
        <v>6</v>
      </c>
      <c r="B7" s="42" t="s">
        <v>18</v>
      </c>
      <c r="C7" s="44" t="s">
        <v>50</v>
      </c>
      <c r="D7" s="44" t="s">
        <v>34</v>
      </c>
      <c r="E7" s="44" t="s">
        <v>33</v>
      </c>
      <c r="F7" s="43">
        <v>849.99</v>
      </c>
      <c r="G7" s="44">
        <v>120</v>
      </c>
      <c r="H7" s="44">
        <f>SUMIFS(StockInData[Quantidade],StockInData[ID],ProductMaster[[#This Row],[Product ID]])-SUMIFS(StockOutData[Quantity],StockOutData[Product ID],ProductMaster[[#This Row],[Product ID]])</f>
        <v>180</v>
      </c>
      <c r="I7" s="45">
        <f>SUMIFS(StockInData[Valor],StockInData[ID],ProductMaster[[#This Row],[Product ID]])-SUMIFS(StockOutData[Value],StockOutData[Product ID],ProductMaster[[#This Row],[Product ID]])</f>
        <v>152998.20000000001</v>
      </c>
    </row>
    <row r="8" spans="1:9">
      <c r="A8" s="44">
        <v>7</v>
      </c>
      <c r="B8" s="42" t="s">
        <v>19</v>
      </c>
      <c r="C8" s="44" t="s">
        <v>49</v>
      </c>
      <c r="D8" s="44" t="s">
        <v>34</v>
      </c>
      <c r="E8" s="44" t="s">
        <v>33</v>
      </c>
      <c r="F8" s="43">
        <v>699.99</v>
      </c>
      <c r="G8" s="44">
        <v>80</v>
      </c>
      <c r="H8" s="44">
        <f>SUMIFS(StockInData[Quantidade],StockInData[ID],ProductMaster[[#This Row],[Product ID]])-SUMIFS(StockOutData[Quantity],StockOutData[Product ID],ProductMaster[[#This Row],[Product ID]])</f>
        <v>150</v>
      </c>
      <c r="I8" s="45">
        <f>SUMIFS(StockInData[Valor],StockInData[ID],ProductMaster[[#This Row],[Product ID]])-SUMIFS(StockOutData[Value],StockOutData[Product ID],ProductMaster[[#This Row],[Product ID]])</f>
        <v>104998.5</v>
      </c>
    </row>
    <row r="9" spans="1:9">
      <c r="A9" s="44">
        <v>8</v>
      </c>
      <c r="B9" s="42" t="s">
        <v>20</v>
      </c>
      <c r="C9" s="44" t="s">
        <v>38</v>
      </c>
      <c r="D9" s="44" t="s">
        <v>34</v>
      </c>
      <c r="E9" s="44" t="s">
        <v>35</v>
      </c>
      <c r="F9" s="43">
        <v>279.89999999999998</v>
      </c>
      <c r="G9" s="44">
        <v>60</v>
      </c>
      <c r="H9" s="44">
        <f>SUMIFS(StockInData[Quantidade],StockInData[ID],ProductMaster[[#This Row],[Product ID]])-SUMIFS(StockOutData[Quantity],StockOutData[Product ID],ProductMaster[[#This Row],[Product ID]])</f>
        <v>70</v>
      </c>
      <c r="I9" s="45">
        <f>SUMIFS(StockInData[Valor],StockInData[ID],ProductMaster[[#This Row],[Product ID]])-SUMIFS(StockOutData[Value],StockOutData[Product ID],ProductMaster[[#This Row],[Product ID]])</f>
        <v>19593</v>
      </c>
    </row>
    <row r="10" spans="1:9">
      <c r="A10" s="44">
        <v>9</v>
      </c>
      <c r="B10" s="42" t="s">
        <v>21</v>
      </c>
      <c r="C10" s="44" t="s">
        <v>39</v>
      </c>
      <c r="D10" s="44" t="s">
        <v>34</v>
      </c>
      <c r="E10" s="44" t="s">
        <v>35</v>
      </c>
      <c r="F10" s="43">
        <v>399.99</v>
      </c>
      <c r="G10" s="44">
        <v>15</v>
      </c>
      <c r="H10" s="44">
        <f>SUMIFS(StockInData[Quantidade],StockInData[ID],ProductMaster[[#This Row],[Product ID]])-SUMIFS(StockOutData[Quantity],StockOutData[Product ID],ProductMaster[[#This Row],[Product ID]])</f>
        <v>30</v>
      </c>
      <c r="I10" s="45">
        <f>SUMIFS(StockInData[Valor],StockInData[ID],ProductMaster[[#This Row],[Product ID]])-SUMIFS(StockOutData[Value],StockOutData[Product ID],ProductMaster[[#This Row],[Product ID]])</f>
        <v>11999.7</v>
      </c>
    </row>
    <row r="11" spans="1:9">
      <c r="A11" s="44">
        <v>10</v>
      </c>
      <c r="B11" s="44" t="s">
        <v>22</v>
      </c>
      <c r="C11" s="44" t="s">
        <v>42</v>
      </c>
      <c r="D11" s="44" t="s">
        <v>36</v>
      </c>
      <c r="E11" s="44" t="s">
        <v>36</v>
      </c>
      <c r="F11" s="45">
        <v>1199.99</v>
      </c>
      <c r="G11" s="44">
        <v>30</v>
      </c>
      <c r="H11" s="44">
        <f>SUMIFS(StockInData[Quantidade],StockInData[ID],ProductMaster[[#This Row],[Product ID]])-SUMIFS(StockOutData[Quantity],StockOutData[Product ID],ProductMaster[[#This Row],[Product ID]])</f>
        <v>30</v>
      </c>
      <c r="I11" s="45">
        <f>SUMIFS(StockInData[Valor],StockInData[ID],ProductMaster[[#This Row],[Product ID]])-SUMIFS(StockOutData[Value],StockOutData[Product ID],ProductMaster[[#This Row],[Product ID]])</f>
        <v>35999.699999999997</v>
      </c>
    </row>
  </sheetData>
  <pageMargins left="0.7" right="0.7" top="0.75" bottom="0.75" header="0.3" footer="0.3"/>
  <pageSetup orientation="portrait" verticalDpi="0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H13"/>
  <sheetViews>
    <sheetView showGridLines="0" workbookViewId="0">
      <selection activeCell="A5" sqref="A5"/>
    </sheetView>
  </sheetViews>
  <sheetFormatPr baseColWidth="10" defaultColWidth="0" defaultRowHeight="15" customHeight="1" zeroHeight="1" x14ac:dyDescent="0"/>
  <cols>
    <col min="1" max="1" width="28.5" bestFit="1" customWidth="1"/>
    <col min="2" max="2" width="31.5" style="12" customWidth="1"/>
    <col min="3" max="3" width="26.5" customWidth="1"/>
    <col min="4" max="8" width="0" hidden="1" customWidth="1"/>
    <col min="9" max="16384" width="9" hidden="1"/>
  </cols>
  <sheetData>
    <row r="1" spans="1:3" ht="14">
      <c r="A1" s="5"/>
      <c r="B1" s="11"/>
      <c r="C1" s="5"/>
    </row>
    <row r="2" spans="1:3" ht="14">
      <c r="A2" s="5"/>
      <c r="B2" s="11"/>
      <c r="C2" s="5"/>
    </row>
    <row r="3" spans="1:3" ht="14">
      <c r="A3" s="5"/>
      <c r="B3" s="11"/>
      <c r="C3" s="5"/>
    </row>
    <row r="4" spans="1:3" ht="14">
      <c r="A4" s="28"/>
      <c r="B4" s="29"/>
      <c r="C4" s="28"/>
    </row>
    <row r="5" spans="1:3" ht="25">
      <c r="A5" s="30" t="s">
        <v>0</v>
      </c>
      <c r="B5" s="32" t="str">
        <f>IF(B6="","",(MAX(ProductMaster[S No.])+1))</f>
        <v/>
      </c>
      <c r="C5" s="28"/>
    </row>
    <row r="6" spans="1:3" ht="25">
      <c r="A6" s="30" t="s">
        <v>2</v>
      </c>
      <c r="B6" s="21"/>
      <c r="C6" s="28"/>
    </row>
    <row r="7" spans="1:3" ht="25">
      <c r="A7" s="30" t="s">
        <v>3</v>
      </c>
      <c r="B7" s="22"/>
      <c r="C7" s="28"/>
    </row>
    <row r="8" spans="1:3" ht="25">
      <c r="A8" s="30" t="s">
        <v>4</v>
      </c>
      <c r="B8" s="22"/>
      <c r="C8" s="28"/>
    </row>
    <row r="9" spans="1:3" ht="25">
      <c r="A9" s="30" t="s">
        <v>5</v>
      </c>
      <c r="B9" s="22"/>
      <c r="C9" s="28"/>
    </row>
    <row r="10" spans="1:3" ht="25">
      <c r="A10" s="30" t="s">
        <v>25</v>
      </c>
      <c r="B10" s="33"/>
      <c r="C10" s="28"/>
    </row>
    <row r="11" spans="1:3" ht="26" thickBot="1">
      <c r="A11" s="31" t="s">
        <v>11</v>
      </c>
      <c r="B11" s="23"/>
      <c r="C11" s="28"/>
    </row>
    <row r="12" spans="1:3" thickTop="1">
      <c r="A12" s="28"/>
      <c r="B12" s="29"/>
      <c r="C12" s="28"/>
    </row>
    <row r="13" spans="1:3" ht="15" hidden="1" customHeight="1"/>
  </sheetData>
  <pageMargins left="0.7" right="0.7" top="0.75" bottom="0.75" header="0.3" footer="0.3"/>
  <pageSetup orientation="portrait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Judah Holanda Correia Lima</cp:lastModifiedBy>
  <dcterms:created xsi:type="dcterms:W3CDTF">2016-08-05T04:56:17Z</dcterms:created>
  <dcterms:modified xsi:type="dcterms:W3CDTF">2016-12-17T17:20:53Z</dcterms:modified>
  <cp:contentStatus/>
</cp:coreProperties>
</file>